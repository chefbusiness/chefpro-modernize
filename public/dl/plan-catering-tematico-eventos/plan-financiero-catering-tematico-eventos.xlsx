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&amp;L Año 1" sheetId="2" state="visible" r:id="rId2"/>
    <sheet xmlns:r="http://schemas.openxmlformats.org/officeDocument/2006/relationships" name="Proyección 3 años" sheetId="3" state="visible" r:id="rId3"/>
    <sheet xmlns:r="http://schemas.openxmlformats.org/officeDocument/2006/relationships" name="Break-even" sheetId="4" state="visible" r:id="rId4"/>
    <sheet xmlns:r="http://schemas.openxmlformats.org/officeDocument/2006/relationships" name="Mix B2C-B2B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€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0A0908"/>
      <sz val="18"/>
    </font>
    <font>
      <name val="Calibri"/>
      <i val="1"/>
      <color rgb="008A7E63"/>
      <sz val="11"/>
    </font>
    <font>
      <name val="Calibri"/>
      <b val="1"/>
      <color rgb="000A0908"/>
      <sz val="11"/>
    </font>
    <font>
      <name val="Calibri"/>
      <b val="1"/>
      <color rgb="00FFFFFF"/>
      <sz val="12"/>
    </font>
    <font>
      <name val="Calibri"/>
      <color rgb="000A0908"/>
      <sz val="11"/>
    </font>
  </fonts>
  <fills count="5">
    <fill>
      <patternFill/>
    </fill>
    <fill>
      <patternFill patternType="gray125"/>
    </fill>
    <fill>
      <patternFill patternType="solid">
        <fgColor rgb="00C4974A"/>
      </patternFill>
    </fill>
    <fill>
      <patternFill patternType="solid">
        <fgColor rgb="000A0908"/>
      </patternFill>
    </fill>
    <fill>
      <patternFill patternType="solid">
        <fgColor rgb="00E8E0D2"/>
      </patternFill>
    </fill>
  </fills>
  <borders count="2">
    <border>
      <left/>
      <right/>
      <top/>
      <bottom/>
      <diagonal/>
    </border>
    <border>
      <left style="thin">
        <color rgb="00C8BFA8"/>
      </left>
      <right style="thin">
        <color rgb="00C8BFA8"/>
      </right>
      <top style="thin">
        <color rgb="00C8BFA8"/>
      </top>
      <bottom style="thin">
        <color rgb="00C8BFA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164" fontId="3" fillId="2" borderId="0" pivotButton="0" quotePrefix="0" xfId="0"/>
    <xf numFmtId="0" fontId="3" fillId="2" borderId="1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right" vertical="center"/>
    </xf>
    <xf numFmtId="166" fontId="3" fillId="2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8" customWidth="1" min="3" max="3"/>
    <col width="16" customWidth="1" min="4" max="4"/>
    <col width="12" customWidth="1" min="5" max="5"/>
    <col width="32" customWidth="1" min="6" max="6"/>
  </cols>
  <sheetData>
    <row r="1" ht="28" customHeight="1">
      <c r="A1" s="1" t="inlineStr">
        <is>
          <t>Plan Financiero — Catering &amp; Kit Temático para Eventos</t>
        </is>
      </c>
    </row>
    <row r="2">
      <c r="A2" s="2" t="inlineStr">
        <is>
          <t>Modelo multi-concepto B2C + B2B · 12 cocinas del mundo · 3 escenarios de inversión</t>
        </is>
      </c>
    </row>
    <row r="4">
      <c r="A4" s="3" t="inlineStr">
        <is>
          <t>ESCENARIOS DE INVERSIÓN INICIAL</t>
        </is>
      </c>
    </row>
    <row r="5" ht="26" customHeight="1">
      <c r="A5" s="4" t="inlineStr">
        <is>
          <t>Concepto</t>
        </is>
      </c>
      <c r="B5" s="4" t="inlineStr">
        <is>
          <t>Mín. Viable (€)</t>
        </is>
      </c>
      <c r="C5" s="4" t="inlineStr">
        <is>
          <t>Recomendado (€)</t>
        </is>
      </c>
      <c r="D5" s="4" t="inlineStr">
        <is>
          <t>Premium (€)</t>
        </is>
      </c>
      <c r="E5" s="4" t="inlineStr">
        <is>
          <t>% Premium</t>
        </is>
      </c>
      <c r="F5" s="4" t="inlineStr">
        <is>
          <t>Notas</t>
        </is>
      </c>
    </row>
    <row r="6">
      <c r="A6" s="5" t="inlineStr">
        <is>
          <t>Constitución autónomo / SL + IAE 677.9 + APPCC móvil</t>
        </is>
      </c>
      <c r="B6" s="6" t="n">
        <v>350</v>
      </c>
      <c r="C6" s="6" t="n">
        <v>600</v>
      </c>
      <c r="D6" s="6" t="n">
        <v>950</v>
      </c>
      <c r="E6" s="7">
        <f>D6/$D$21</f>
        <v/>
      </c>
      <c r="F6" s="5" t="inlineStr">
        <is>
          <t>Tarifa plana 80€/mes 12m + asesoría</t>
        </is>
      </c>
    </row>
    <row r="7">
      <c r="A7" s="5" t="inlineStr">
        <is>
          <t>Cuchillería japonesa profesional (gyuto + petty + yanagiba)</t>
        </is>
      </c>
      <c r="B7" s="6" t="n">
        <v>480</v>
      </c>
      <c r="C7" s="6" t="n">
        <v>980</v>
      </c>
      <c r="D7" s="6" t="n">
        <v>2400</v>
      </c>
      <c r="E7" s="7">
        <f>D7/$D$21</f>
        <v/>
      </c>
      <c r="F7" s="5" t="inlineStr">
        <is>
          <t>Tojiro entry, Yoshihiro/Misono premium</t>
        </is>
      </c>
    </row>
    <row r="8">
      <c r="A8" s="5" t="inlineStr">
        <is>
          <t>Inducción portátil profesional × 2 + cables industriales</t>
        </is>
      </c>
      <c r="B8" s="6" t="n">
        <v>240</v>
      </c>
      <c r="C8" s="6" t="n">
        <v>520</v>
      </c>
      <c r="D8" s="6" t="n">
        <v>1280</v>
      </c>
      <c r="E8" s="7">
        <f>D8/$D$21</f>
        <v/>
      </c>
      <c r="F8" s="5" t="inlineStr">
        <is>
          <t>Vollrath/Iwatani 3.5kW</t>
        </is>
      </c>
    </row>
    <row r="9">
      <c r="A9" s="5" t="inlineStr">
        <is>
          <t>Wok pro + plancha teppanyaki + parrilla josper portátil</t>
        </is>
      </c>
      <c r="B9" s="6" t="n">
        <v>580</v>
      </c>
      <c r="C9" s="6" t="n">
        <v>1480</v>
      </c>
      <c r="D9" s="6" t="n">
        <v>3850</v>
      </c>
      <c r="E9" s="7">
        <f>D9/$D$21</f>
        <v/>
      </c>
      <c r="F9" s="5" t="inlineStr">
        <is>
          <t>Multi-cocina del mundo</t>
        </is>
      </c>
    </row>
    <row r="10">
      <c r="A10" s="5" t="inlineStr">
        <is>
          <t>Horno de leña pizza móvil profesional</t>
        </is>
      </c>
      <c r="B10" s="6" t="n">
        <v>850</v>
      </c>
      <c r="C10" s="6" t="n">
        <v>2200</v>
      </c>
      <c r="D10" s="6" t="n">
        <v>4800</v>
      </c>
      <c r="E10" s="7">
        <f>D10/$D$21</f>
        <v/>
      </c>
      <c r="F10" s="5" t="inlineStr">
        <is>
          <t>Pizza Party / Ooni Pro / fabricación a medida</t>
        </is>
      </c>
    </row>
    <row r="11">
      <c r="A11" s="5" t="inlineStr">
        <is>
          <t>Tandoor portátil + smoker BBQ texano</t>
        </is>
      </c>
      <c r="B11" s="6" t="n">
        <v>480</v>
      </c>
      <c r="C11" s="6" t="n">
        <v>1450</v>
      </c>
      <c r="D11" s="6" t="n">
        <v>3850</v>
      </c>
      <c r="E11" s="7">
        <f>D11/$D$21</f>
        <v/>
      </c>
      <c r="F11" s="5" t="inlineStr">
        <is>
          <t>Importación EE.UU. / a medida</t>
        </is>
      </c>
    </row>
    <row r="12">
      <c r="A12" s="5" t="inlineStr">
        <is>
          <t>Trompo al pastor a gas + comales mexicanos</t>
        </is>
      </c>
      <c r="B12" s="6" t="n">
        <v>280</v>
      </c>
      <c r="C12" s="6" t="n">
        <v>580</v>
      </c>
      <c r="D12" s="6" t="n">
        <v>1450</v>
      </c>
      <c r="E12" s="7">
        <f>D12/$D$21</f>
        <v/>
      </c>
      <c r="F12" s="5" t="inlineStr">
        <is>
          <t>Importaciones Cuesta / Maíz Maya</t>
        </is>
      </c>
    </row>
    <row r="13">
      <c r="A13" s="5" t="inlineStr">
        <is>
          <t>Vajilla blanca premium 100 platos + tableware</t>
        </is>
      </c>
      <c r="B13" s="6" t="n">
        <v>780</v>
      </c>
      <c r="C13" s="6" t="n">
        <v>1850</v>
      </c>
      <c r="D13" s="6" t="n">
        <v>4200</v>
      </c>
      <c r="E13" s="7">
        <f>D13/$D$21</f>
        <v/>
      </c>
      <c r="F13" s="5" t="inlineStr">
        <is>
          <t>Pordamsa/Steelite/Schönwald</t>
        </is>
      </c>
    </row>
    <row r="14">
      <c r="A14" s="5" t="inlineStr">
        <is>
          <t>Cristalería + cubertería evento + mantelería</t>
        </is>
      </c>
      <c r="B14" s="6" t="n">
        <v>380</v>
      </c>
      <c r="C14" s="6" t="n">
        <v>880</v>
      </c>
      <c r="D14" s="6" t="n">
        <v>2200</v>
      </c>
      <c r="E14" s="7">
        <f>D14/$D$21</f>
        <v/>
      </c>
      <c r="F14" s="5" t="inlineStr">
        <is>
          <t>Schott Zwiesel + linen artesano</t>
        </is>
      </c>
    </row>
    <row r="15">
      <c r="A15" s="5" t="inlineStr">
        <is>
          <t>Mise en place portátil + neveras + cajas modulares</t>
        </is>
      </c>
      <c r="B15" s="6" t="n">
        <v>480</v>
      </c>
      <c r="C15" s="6" t="n">
        <v>980</v>
      </c>
      <c r="D15" s="6" t="n">
        <v>2380</v>
      </c>
      <c r="E15" s="7">
        <f>D15/$D$21</f>
        <v/>
      </c>
      <c r="F15" s="5" t="inlineStr">
        <is>
          <t>Sistema reutilizable multi-evento</t>
        </is>
      </c>
    </row>
    <row r="16">
      <c r="A16" s="5" t="inlineStr">
        <is>
          <t>Attrezzo cultural por concepto (vajilla específica + decor)</t>
        </is>
      </c>
      <c r="B16" s="6" t="n">
        <v>380</v>
      </c>
      <c r="C16" s="6" t="n">
        <v>1180</v>
      </c>
      <c r="D16" s="6" t="n">
        <v>3200</v>
      </c>
      <c r="E16" s="7">
        <f>D16/$D$21</f>
        <v/>
      </c>
      <c r="F16" s="5" t="inlineStr">
        <is>
          <t>Bambú, ceramica mexicana, tagín, slate boards</t>
        </is>
      </c>
    </row>
    <row r="17">
      <c r="A17" s="5" t="inlineStr">
        <is>
          <t>Uniformidad chef × 4 + delantales temáticos</t>
        </is>
      </c>
      <c r="B17" s="6" t="n">
        <v>280</v>
      </c>
      <c r="C17" s="6" t="n">
        <v>580</v>
      </c>
      <c r="D17" s="6" t="n">
        <v>1280</v>
      </c>
      <c r="E17" s="7">
        <f>D17/$D$21</f>
        <v/>
      </c>
      <c r="F17" s="5" t="inlineStr">
        <is>
          <t>Chaud Devant/Lafont + bordado logo</t>
        </is>
      </c>
    </row>
    <row r="18">
      <c r="A18" s="5" t="inlineStr">
        <is>
          <t>Marca + web portfolio + identidad + Stripe</t>
        </is>
      </c>
      <c r="B18" s="6" t="n">
        <v>580</v>
      </c>
      <c r="C18" s="6" t="n">
        <v>1850</v>
      </c>
      <c r="D18" s="6" t="n">
        <v>4800</v>
      </c>
      <c r="E18" s="7">
        <f>D18/$D$21</f>
        <v/>
      </c>
      <c r="F18" s="5" t="inlineStr">
        <is>
          <t>Diseño + branding + booking online</t>
        </is>
      </c>
    </row>
    <row r="19">
      <c r="A19" s="5" t="inlineStr">
        <is>
          <t>Sesión foto profesional 12 conceptos + vídeo</t>
        </is>
      </c>
      <c r="B19" s="6" t="n">
        <v>580</v>
      </c>
      <c r="C19" s="6" t="n">
        <v>1480</v>
      </c>
      <c r="D19" s="6" t="n">
        <v>3800</v>
      </c>
      <c r="E19" s="7">
        <f>D19/$D$21</f>
        <v/>
      </c>
      <c r="F19" s="5" t="inlineStr">
        <is>
          <t>Fotógrafo gastronómico + 60+ imágenes</t>
        </is>
      </c>
    </row>
    <row r="20">
      <c r="A20" s="5" t="inlineStr">
        <is>
          <t>Furgoneta usada / leasing + branded wrap</t>
        </is>
      </c>
      <c r="B20" s="6" t="n">
        <v>1800</v>
      </c>
      <c r="C20" s="6" t="n">
        <v>4800</v>
      </c>
      <c r="D20" s="6" t="n">
        <v>14000</v>
      </c>
      <c r="E20" s="7">
        <f>D20/$D$21</f>
        <v/>
      </c>
      <c r="F20" s="5" t="inlineStr">
        <is>
          <t>Renault Master / Iveco Daily + lonas</t>
        </is>
      </c>
    </row>
    <row r="21">
      <c r="A21" s="8" t="inlineStr">
        <is>
          <t>TOTAL INVERSIÓN</t>
        </is>
      </c>
      <c r="B21" s="9">
        <f>SUM(B6:B20)</f>
        <v/>
      </c>
      <c r="C21" s="9">
        <f>SUM(C6:C20)</f>
        <v/>
      </c>
      <c r="D21" s="9">
        <f>SUM(D6:D20)</f>
        <v/>
      </c>
      <c r="E21" s="10" t="inlineStr">
        <is>
          <t>100%</t>
        </is>
      </c>
      <c r="F21" s="8" t="inlineStr"/>
    </row>
  </sheetData>
  <mergeCells count="3">
    <mergeCell ref="A1:J1"/>
    <mergeCell ref="A4:F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8" customHeight="1">
      <c r="A1" s="1" t="inlineStr">
        <is>
          <t>P&amp;L mensual Año 1</t>
        </is>
      </c>
    </row>
    <row r="2">
      <c r="A2" s="2" t="inlineStr">
        <is>
          <t>Mix B2C 35% + B2B 65% · estacionalidad bodas mayo-octubre + corporate dic</t>
        </is>
      </c>
    </row>
    <row r="4" ht="26" customHeight="1">
      <c r="A4" s="4" t="inlineStr">
        <is>
          <t>Concepto</t>
        </is>
      </c>
      <c r="B4" s="4" t="inlineStr">
        <is>
          <t>Ene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Abr</t>
        </is>
      </c>
      <c r="F4" s="4" t="inlineStr">
        <is>
          <t>May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Ago</t>
        </is>
      </c>
      <c r="J4" s="4" t="inlineStr">
        <is>
          <t>Sep</t>
        </is>
      </c>
      <c r="K4" s="4" t="inlineStr">
        <is>
          <t>Oct</t>
        </is>
      </c>
      <c r="L4" s="4" t="inlineStr">
        <is>
          <t>Nov</t>
        </is>
      </c>
      <c r="M4" s="4" t="inlineStr">
        <is>
          <t>Dic</t>
        </is>
      </c>
      <c r="N4" s="4" t="inlineStr">
        <is>
          <t>Total</t>
        </is>
      </c>
    </row>
    <row r="5">
      <c r="A5" s="11" t="inlineStr">
        <is>
          <t>Ingresos B2C (bodas, fiestas, eventos privados)</t>
        </is>
      </c>
      <c r="B5" s="12" t="n">
        <v>4400</v>
      </c>
      <c r="C5" s="12" t="n">
        <v>4400</v>
      </c>
      <c r="D5" s="12" t="n">
        <v>8800</v>
      </c>
      <c r="E5" s="12" t="n">
        <v>11000</v>
      </c>
      <c r="F5" s="12" t="n">
        <v>19800</v>
      </c>
      <c r="G5" s="12" t="n">
        <v>24200</v>
      </c>
      <c r="H5" s="12" t="n">
        <v>22000</v>
      </c>
      <c r="I5" s="12" t="n">
        <v>13200</v>
      </c>
      <c r="J5" s="12" t="n">
        <v>19800</v>
      </c>
      <c r="K5" s="12" t="n">
        <v>17600</v>
      </c>
      <c r="L5" s="12" t="n">
        <v>8800</v>
      </c>
      <c r="M5" s="12" t="n">
        <v>13200</v>
      </c>
      <c r="N5" s="12">
        <f>SUM(B5:M5)</f>
        <v/>
      </c>
    </row>
    <row r="6">
      <c r="A6" s="11" t="inlineStr">
        <is>
          <t>Ingresos B2B (corporate, brand events, planners)</t>
        </is>
      </c>
      <c r="B6" s="12" t="n">
        <v>13500</v>
      </c>
      <c r="C6" s="12" t="n">
        <v>18000</v>
      </c>
      <c r="D6" s="12" t="n">
        <v>27000</v>
      </c>
      <c r="E6" s="12" t="n">
        <v>31500</v>
      </c>
      <c r="F6" s="12" t="n">
        <v>45000</v>
      </c>
      <c r="G6" s="12" t="n">
        <v>54000</v>
      </c>
      <c r="H6" s="12" t="n">
        <v>40500</v>
      </c>
      <c r="I6" s="12" t="n">
        <v>22500</v>
      </c>
      <c r="J6" s="12" t="n">
        <v>40500</v>
      </c>
      <c r="K6" s="12" t="n">
        <v>45000</v>
      </c>
      <c r="L6" s="12" t="n">
        <v>36000</v>
      </c>
      <c r="M6" s="12" t="n">
        <v>63000</v>
      </c>
      <c r="N6" s="12">
        <f>SUM(B6:M6)</f>
        <v/>
      </c>
    </row>
    <row r="7">
      <c r="A7" s="13" t="inlineStr">
        <is>
          <t>TOTAL INGRESOS</t>
        </is>
      </c>
      <c r="B7" s="14">
        <f>SUM(B5:B6)</f>
        <v/>
      </c>
      <c r="C7" s="14">
        <f>SUM(C5:C6)</f>
        <v/>
      </c>
      <c r="D7" s="14">
        <f>SUM(D5:D6)</f>
        <v/>
      </c>
      <c r="E7" s="14">
        <f>SUM(E5:E6)</f>
        <v/>
      </c>
      <c r="F7" s="14">
        <f>SUM(F5:F6)</f>
        <v/>
      </c>
      <c r="G7" s="14">
        <f>SUM(G5:G6)</f>
        <v/>
      </c>
      <c r="H7" s="14">
        <f>SUM(H5:H6)</f>
        <v/>
      </c>
      <c r="I7" s="14">
        <f>SUM(I5:I6)</f>
        <v/>
      </c>
      <c r="J7" s="14">
        <f>SUM(J5:J6)</f>
        <v/>
      </c>
      <c r="K7" s="14">
        <f>SUM(K5:K6)</f>
        <v/>
      </c>
      <c r="L7" s="14">
        <f>SUM(L5:L6)</f>
        <v/>
      </c>
      <c r="M7" s="14">
        <f>SUM(M5:M6)</f>
        <v/>
      </c>
      <c r="N7" s="14">
        <f>SUM(N5:N6)</f>
        <v/>
      </c>
    </row>
    <row r="9">
      <c r="A9" s="11" t="inlineStr">
        <is>
          <t>Food cost ingredientes especializados (28%)</t>
        </is>
      </c>
      <c r="B9" s="12">
        <f>B7*0.28</f>
        <v/>
      </c>
      <c r="C9" s="12">
        <f>C7*0.28</f>
        <v/>
      </c>
      <c r="D9" s="12">
        <f>D7*0.28</f>
        <v/>
      </c>
      <c r="E9" s="12">
        <f>E7*0.28</f>
        <v/>
      </c>
      <c r="F9" s="12">
        <f>F7*0.28</f>
        <v/>
      </c>
      <c r="G9" s="12">
        <f>G7*0.28</f>
        <v/>
      </c>
      <c r="H9" s="12">
        <f>H7*0.28</f>
        <v/>
      </c>
      <c r="I9" s="12">
        <f>I7*0.28</f>
        <v/>
      </c>
      <c r="J9" s="12">
        <f>J7*0.28</f>
        <v/>
      </c>
      <c r="K9" s="12">
        <f>K7*0.28</f>
        <v/>
      </c>
      <c r="L9" s="12">
        <f>L7*0.28</f>
        <v/>
      </c>
      <c r="M9" s="12">
        <f>M7*0.28</f>
        <v/>
      </c>
      <c r="N9" s="12">
        <f>N7*0.28</f>
        <v/>
      </c>
    </row>
    <row r="10">
      <c r="A10" s="11" t="inlineStr">
        <is>
          <t>Logística + transporte multi-equipamiento (5%)</t>
        </is>
      </c>
      <c r="B10" s="12">
        <f>B7*0.05</f>
        <v/>
      </c>
      <c r="C10" s="12">
        <f>C7*0.05</f>
        <v/>
      </c>
      <c r="D10" s="12">
        <f>D7*0.05</f>
        <v/>
      </c>
      <c r="E10" s="12">
        <f>E7*0.05</f>
        <v/>
      </c>
      <c r="F10" s="12">
        <f>F7*0.05</f>
        <v/>
      </c>
      <c r="G10" s="12">
        <f>G7*0.05</f>
        <v/>
      </c>
      <c r="H10" s="12">
        <f>H7*0.05</f>
        <v/>
      </c>
      <c r="I10" s="12">
        <f>I7*0.05</f>
        <v/>
      </c>
      <c r="J10" s="12">
        <f>J7*0.05</f>
        <v/>
      </c>
      <c r="K10" s="12">
        <f>K7*0.05</f>
        <v/>
      </c>
      <c r="L10" s="12">
        <f>L7*0.05</f>
        <v/>
      </c>
      <c r="M10" s="12">
        <f>M7*0.05</f>
        <v/>
      </c>
      <c r="N10" s="12">
        <f>N7*0.05</f>
        <v/>
      </c>
    </row>
    <row r="11">
      <c r="A11" s="11" t="inlineStr">
        <is>
          <t>Personal freelance multi-concepto (15%)</t>
        </is>
      </c>
      <c r="B11" s="12">
        <f>B7*0.15</f>
        <v/>
      </c>
      <c r="C11" s="12">
        <f>C7*0.15</f>
        <v/>
      </c>
      <c r="D11" s="12">
        <f>D7*0.15</f>
        <v/>
      </c>
      <c r="E11" s="12">
        <f>E7*0.15</f>
        <v/>
      </c>
      <c r="F11" s="12">
        <f>F7*0.15</f>
        <v/>
      </c>
      <c r="G11" s="12">
        <f>G7*0.15</f>
        <v/>
      </c>
      <c r="H11" s="12">
        <f>H7*0.15</f>
        <v/>
      </c>
      <c r="I11" s="12">
        <f>I7*0.15</f>
        <v/>
      </c>
      <c r="J11" s="12">
        <f>J7*0.15</f>
        <v/>
      </c>
      <c r="K11" s="12">
        <f>K7*0.15</f>
        <v/>
      </c>
      <c r="L11" s="12">
        <f>L7*0.15</f>
        <v/>
      </c>
      <c r="M11" s="12">
        <f>M7*0.15</f>
        <v/>
      </c>
      <c r="N11" s="12">
        <f>N7*0.15</f>
        <v/>
      </c>
    </row>
    <row r="13">
      <c r="A13" s="11" t="inlineStr">
        <is>
          <t>Cuota autónomo + SS (TGSS)</t>
        </is>
      </c>
      <c r="B13" s="12" t="n">
        <v>80</v>
      </c>
      <c r="C13" s="12" t="n">
        <v>80</v>
      </c>
      <c r="D13" s="12" t="n">
        <v>80</v>
      </c>
      <c r="E13" s="12" t="n">
        <v>80</v>
      </c>
      <c r="F13" s="12" t="n">
        <v>80</v>
      </c>
      <c r="G13" s="12" t="n">
        <v>80</v>
      </c>
      <c r="H13" s="12" t="n">
        <v>80</v>
      </c>
      <c r="I13" s="12" t="n">
        <v>80</v>
      </c>
      <c r="J13" s="12" t="n">
        <v>80</v>
      </c>
      <c r="K13" s="12" t="n">
        <v>80</v>
      </c>
      <c r="L13" s="12" t="n">
        <v>80</v>
      </c>
      <c r="M13" s="12" t="n">
        <v>80</v>
      </c>
      <c r="N13" s="12">
        <f>SUM(B13:M13)</f>
        <v/>
      </c>
    </row>
    <row r="14">
      <c r="A14" s="11" t="inlineStr">
        <is>
          <t>Seguro RC eventos + furgo + intoxicación</t>
        </is>
      </c>
      <c r="B14" s="12" t="n">
        <v>140</v>
      </c>
      <c r="C14" s="12" t="n">
        <v>140</v>
      </c>
      <c r="D14" s="12" t="n">
        <v>140</v>
      </c>
      <c r="E14" s="12" t="n">
        <v>140</v>
      </c>
      <c r="F14" s="12" t="n">
        <v>140</v>
      </c>
      <c r="G14" s="12" t="n">
        <v>140</v>
      </c>
      <c r="H14" s="12" t="n">
        <v>140</v>
      </c>
      <c r="I14" s="12" t="n">
        <v>140</v>
      </c>
      <c r="J14" s="12" t="n">
        <v>140</v>
      </c>
      <c r="K14" s="12" t="n">
        <v>140</v>
      </c>
      <c r="L14" s="12" t="n">
        <v>140</v>
      </c>
      <c r="M14" s="12" t="n">
        <v>140</v>
      </c>
      <c r="N14" s="12">
        <f>SUM(B14:M14)</f>
        <v/>
      </c>
    </row>
    <row r="15">
      <c r="A15" s="11" t="inlineStr">
        <is>
          <t>Marketing + ads + plataformas eventos</t>
        </is>
      </c>
      <c r="B15" s="12" t="n">
        <v>280</v>
      </c>
      <c r="C15" s="12" t="n">
        <v>280</v>
      </c>
      <c r="D15" s="12" t="n">
        <v>280</v>
      </c>
      <c r="E15" s="12" t="n">
        <v>280</v>
      </c>
      <c r="F15" s="12" t="n">
        <v>280</v>
      </c>
      <c r="G15" s="12" t="n">
        <v>280</v>
      </c>
      <c r="H15" s="12" t="n">
        <v>280</v>
      </c>
      <c r="I15" s="12" t="n">
        <v>280</v>
      </c>
      <c r="J15" s="12" t="n">
        <v>280</v>
      </c>
      <c r="K15" s="12" t="n">
        <v>280</v>
      </c>
      <c r="L15" s="12" t="n">
        <v>280</v>
      </c>
      <c r="M15" s="12" t="n">
        <v>280</v>
      </c>
      <c r="N15" s="12">
        <f>SUM(B15:M15)</f>
        <v/>
      </c>
    </row>
    <row r="16">
      <c r="A16" s="11" t="inlineStr">
        <is>
          <t>Furgoneta + combustible + mantenimiento</t>
        </is>
      </c>
      <c r="B16" s="12" t="n">
        <v>380</v>
      </c>
      <c r="C16" s="12" t="n">
        <v>380</v>
      </c>
      <c r="D16" s="12" t="n">
        <v>380</v>
      </c>
      <c r="E16" s="12" t="n">
        <v>380</v>
      </c>
      <c r="F16" s="12" t="n">
        <v>380</v>
      </c>
      <c r="G16" s="12" t="n">
        <v>380</v>
      </c>
      <c r="H16" s="12" t="n">
        <v>380</v>
      </c>
      <c r="I16" s="12" t="n">
        <v>380</v>
      </c>
      <c r="J16" s="12" t="n">
        <v>380</v>
      </c>
      <c r="K16" s="12" t="n">
        <v>380</v>
      </c>
      <c r="L16" s="12" t="n">
        <v>380</v>
      </c>
      <c r="M16" s="12" t="n">
        <v>380</v>
      </c>
      <c r="N16" s="12">
        <f>SUM(B16:M16)</f>
        <v/>
      </c>
    </row>
    <row r="18">
      <c r="A18" s="13" t="inlineStr">
        <is>
          <t>TOTAL COSTES</t>
        </is>
      </c>
      <c r="B18" s="14">
        <f>SUM(B9:B11)+SUM(B13:B16)</f>
        <v/>
      </c>
      <c r="C18" s="14">
        <f>SUM(C9:C11)+SUM(C13:C16)</f>
        <v/>
      </c>
      <c r="D18" s="14">
        <f>SUM(D9:D11)+SUM(D13:D16)</f>
        <v/>
      </c>
      <c r="E18" s="14">
        <f>SUM(E9:E11)+SUM(E13:E16)</f>
        <v/>
      </c>
      <c r="F18" s="14">
        <f>SUM(F9:F11)+SUM(F13:F16)</f>
        <v/>
      </c>
      <c r="G18" s="14">
        <f>SUM(G9:G11)+SUM(G13:G16)</f>
        <v/>
      </c>
      <c r="H18" s="14">
        <f>SUM(H9:H11)+SUM(H13:H16)</f>
        <v/>
      </c>
      <c r="I18" s="14">
        <f>SUM(I9:I11)+SUM(I13:I16)</f>
        <v/>
      </c>
      <c r="J18" s="14">
        <f>SUM(J9:J11)+SUM(J13:J16)</f>
        <v/>
      </c>
      <c r="K18" s="14">
        <f>SUM(K9:K11)+SUM(K13:K16)</f>
        <v/>
      </c>
      <c r="L18" s="14">
        <f>SUM(L9:L11)+SUM(L13:L16)</f>
        <v/>
      </c>
      <c r="M18" s="14">
        <f>SUM(M9:M11)+SUM(M13:M16)</f>
        <v/>
      </c>
      <c r="N18" s="14">
        <f>SUM(N9:N11)+SUM(N13:N16)</f>
        <v/>
      </c>
    </row>
    <row r="19">
      <c r="A19" s="3" t="inlineStr">
        <is>
          <t>BENEFICIO NETO</t>
        </is>
      </c>
      <c r="B19" s="15">
        <f>B7-B18</f>
        <v/>
      </c>
      <c r="C19" s="15">
        <f>C7-C18</f>
        <v/>
      </c>
      <c r="D19" s="15">
        <f>D7-D18</f>
        <v/>
      </c>
      <c r="E19" s="15">
        <f>E7-E18</f>
        <v/>
      </c>
      <c r="F19" s="15">
        <f>F7-F18</f>
        <v/>
      </c>
      <c r="G19" s="15">
        <f>G7-G18</f>
        <v/>
      </c>
      <c r="H19" s="15">
        <f>H7-H18</f>
        <v/>
      </c>
      <c r="I19" s="15">
        <f>I7-I18</f>
        <v/>
      </c>
      <c r="J19" s="15">
        <f>J7-J18</f>
        <v/>
      </c>
      <c r="K19" s="15">
        <f>K7-K18</f>
        <v/>
      </c>
      <c r="L19" s="15">
        <f>L7-L18</f>
        <v/>
      </c>
      <c r="M19" s="15">
        <f>M7-M18</f>
        <v/>
      </c>
      <c r="N19" s="15">
        <f>N7-N18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Proyección financiera 3 años</t>
        </is>
      </c>
    </row>
    <row r="2">
      <c r="A2" s="2" t="inlineStr">
        <is>
          <t>Crecimiento conservador · Año 2 +30% · Año 3 +22%</t>
        </is>
      </c>
    </row>
    <row r="4" ht="26" customHeight="1">
      <c r="A4" s="4" t="inlineStr">
        <is>
          <t>Concepto</t>
        </is>
      </c>
      <c r="B4" s="4" t="inlineStr">
        <is>
          <t>Año 1</t>
        </is>
      </c>
      <c r="C4" s="4" t="inlineStr">
        <is>
          <t>Año 2</t>
        </is>
      </c>
      <c r="D4" s="4" t="inlineStr">
        <is>
          <t>Año 3</t>
        </is>
      </c>
    </row>
    <row r="5">
      <c r="A5" s="5" t="inlineStr">
        <is>
          <t>Eventos B2C totales</t>
        </is>
      </c>
      <c r="B5" s="6" t="n">
        <v>76</v>
      </c>
      <c r="C5" s="6" t="n">
        <v>99</v>
      </c>
      <c r="D5" s="6" t="n">
        <v>121</v>
      </c>
    </row>
    <row r="6">
      <c r="A6" s="5" t="inlineStr">
        <is>
          <t>Eventos B2B totales</t>
        </is>
      </c>
      <c r="B6" s="6" t="n">
        <v>97</v>
      </c>
      <c r="C6" s="6" t="n">
        <v>126</v>
      </c>
      <c r="D6" s="6" t="n">
        <v>154</v>
      </c>
    </row>
    <row r="7">
      <c r="A7" s="5" t="inlineStr">
        <is>
          <t>Ticket medio B2C (€)</t>
        </is>
      </c>
      <c r="B7" s="6" t="n">
        <v>2200</v>
      </c>
      <c r="C7" s="6" t="n">
        <v>2380</v>
      </c>
      <c r="D7" s="6" t="n">
        <v>2600</v>
      </c>
    </row>
    <row r="8">
      <c r="A8" s="5" t="inlineStr">
        <is>
          <t>Ticket medio B2B (€)</t>
        </is>
      </c>
      <c r="B8" s="6" t="n">
        <v>4500</v>
      </c>
      <c r="C8" s="6" t="n">
        <v>4850</v>
      </c>
      <c r="D8" s="6" t="n">
        <v>5200</v>
      </c>
    </row>
    <row r="9">
      <c r="A9" s="5" t="inlineStr">
        <is>
          <t>Ingresos B2C</t>
        </is>
      </c>
      <c r="B9" s="6">
        <f>B5*B7</f>
        <v/>
      </c>
      <c r="C9" s="6">
        <f>C5*C7</f>
        <v/>
      </c>
      <c r="D9" s="6">
        <f>D5*D7</f>
        <v/>
      </c>
    </row>
    <row r="10">
      <c r="A10" s="5" t="inlineStr">
        <is>
          <t>Ingresos B2B</t>
        </is>
      </c>
      <c r="B10" s="6">
        <f>B6*B8</f>
        <v/>
      </c>
      <c r="C10" s="6">
        <f>C6*C8</f>
        <v/>
      </c>
      <c r="D10" s="6">
        <f>D6*D8</f>
        <v/>
      </c>
    </row>
    <row r="11">
      <c r="A11" s="8" t="inlineStr">
        <is>
          <t>TOTAL INGRESOS</t>
        </is>
      </c>
      <c r="B11" s="9">
        <f>B9+B10</f>
        <v/>
      </c>
      <c r="C11" s="9">
        <f>C9+C10</f>
        <v/>
      </c>
      <c r="D11" s="9">
        <f>D9+D10</f>
        <v/>
      </c>
    </row>
    <row r="12">
      <c r="A12" s="5" t="inlineStr">
        <is>
          <t>Food cost (28% / 26% / 25%)</t>
        </is>
      </c>
      <c r="B12" s="6">
        <f>B11*0.28</f>
        <v/>
      </c>
      <c r="C12" s="6">
        <f>C11*0.26</f>
        <v/>
      </c>
      <c r="D12" s="6">
        <f>D11*0.25</f>
        <v/>
      </c>
    </row>
    <row r="13">
      <c r="A13" s="5" t="inlineStr">
        <is>
          <t>Logística (5%)</t>
        </is>
      </c>
      <c r="B13" s="6">
        <f>B11*0.05</f>
        <v/>
      </c>
      <c r="C13" s="6">
        <f>C11*0.05</f>
        <v/>
      </c>
      <c r="D13" s="6">
        <f>D11*0.05</f>
        <v/>
      </c>
    </row>
    <row r="14">
      <c r="A14" s="5" t="inlineStr">
        <is>
          <t>Personal freelance (15% / 14% / 13%)</t>
        </is>
      </c>
      <c r="B14" s="6">
        <f>B11*0.15</f>
        <v/>
      </c>
      <c r="C14" s="6">
        <f>C11*0.14</f>
        <v/>
      </c>
      <c r="D14" s="6">
        <f>D11*0.13</f>
        <v/>
      </c>
    </row>
    <row r="15">
      <c r="A15" s="5" t="inlineStr">
        <is>
          <t>Costes fijos anuales</t>
        </is>
      </c>
      <c r="B15" s="6" t="n">
        <v>10560</v>
      </c>
      <c r="C15" s="6" t="n">
        <v>12200</v>
      </c>
      <c r="D15" s="6" t="n">
        <v>14400</v>
      </c>
    </row>
    <row r="16">
      <c r="A16" s="8" t="inlineStr">
        <is>
          <t>TOTAL COSTES</t>
        </is>
      </c>
      <c r="B16" s="9">
        <f>SUM(B12:B15)</f>
        <v/>
      </c>
      <c r="C16" s="9">
        <f>SUM(C12:C15)</f>
        <v/>
      </c>
      <c r="D16" s="9">
        <f>SUM(D12:D15)</f>
        <v/>
      </c>
    </row>
    <row r="17">
      <c r="A17" s="16" t="inlineStr">
        <is>
          <t>BENEFICIO NETO</t>
        </is>
      </c>
      <c r="B17" s="17">
        <f>B11-B16</f>
        <v/>
      </c>
      <c r="C17" s="17">
        <f>C11-C16</f>
        <v/>
      </c>
      <c r="D17" s="17">
        <f>D11-D16</f>
        <v/>
      </c>
    </row>
    <row r="18">
      <c r="A18" s="18" t="inlineStr">
        <is>
          <t>Margen neto</t>
        </is>
      </c>
      <c r="B18" s="19">
        <f>B17/B11</f>
        <v/>
      </c>
      <c r="C18" s="19">
        <f>C17/C11</f>
        <v/>
      </c>
      <c r="D18" s="19">
        <f>D17/D11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</cols>
  <sheetData>
    <row r="1" ht="28" customHeight="1">
      <c r="A1" s="1" t="inlineStr">
        <is>
          <t>Punto de equilibrio</t>
        </is>
      </c>
    </row>
    <row r="2">
      <c r="A2" s="2" t="inlineStr">
        <is>
          <t>Eventos mínimos para cubrir costes fijos anuales</t>
        </is>
      </c>
    </row>
    <row r="4" ht="26" customHeight="1">
      <c r="A4" s="4" t="inlineStr">
        <is>
          <t>Variable</t>
        </is>
      </c>
      <c r="B4" s="4" t="inlineStr">
        <is>
          <t>Valor</t>
        </is>
      </c>
    </row>
    <row r="5">
      <c r="A5" s="5" t="inlineStr">
        <is>
          <t>Costes fijos anuales (cuota + seguros + marketing + furgo)</t>
        </is>
      </c>
      <c r="B5" s="6" t="n">
        <v>10560</v>
      </c>
    </row>
    <row r="6">
      <c r="A6" s="5" t="inlineStr">
        <is>
          <t>Ticket medio mixto (35% B2C 2.200€ + 65% B2B 4.500€)</t>
        </is>
      </c>
      <c r="B6" s="6">
        <f>2200*0.35+4500*0.65</f>
        <v/>
      </c>
    </row>
    <row r="7">
      <c r="A7" s="5" t="inlineStr">
        <is>
          <t>Margen contribución (1 - food cost 28% - logística 5% - personal 15%)</t>
        </is>
      </c>
      <c r="B7" s="7">
        <f>1-0.28-0.05-0.15</f>
        <v/>
      </c>
    </row>
    <row r="8">
      <c r="A8" s="5" t="inlineStr">
        <is>
          <t>Margen contribución por evento (€)</t>
        </is>
      </c>
      <c r="B8" s="6">
        <f>B6*B7</f>
        <v/>
      </c>
    </row>
    <row r="9">
      <c r="A9" s="16" t="inlineStr">
        <is>
          <t>Eventos break-even AÑO 1</t>
        </is>
      </c>
      <c r="B9" s="20">
        <f>B5/B8</f>
        <v/>
      </c>
    </row>
    <row r="10">
      <c r="A10" s="5" t="inlineStr">
        <is>
          <t>Eventos break-even MES (12 meses activos)</t>
        </is>
      </c>
      <c r="B10" s="21">
        <f>B9/12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24" customWidth="1" min="5" max="5"/>
    <col width="12" customWidth="1" min="6" max="6"/>
  </cols>
  <sheetData>
    <row r="1" ht="28" customHeight="1">
      <c r="A1" s="1" t="inlineStr">
        <is>
          <t>Mix B2C / B2B detallado</t>
        </is>
      </c>
    </row>
    <row r="2">
      <c r="A2" s="2" t="inlineStr">
        <is>
          <t>Tipologías de cliente, ticket medio y volumen anual</t>
        </is>
      </c>
    </row>
    <row r="4" ht="26" customHeight="1">
      <c r="A4" s="4" t="inlineStr">
        <is>
          <t>Segmento</t>
        </is>
      </c>
      <c r="B4" s="4" t="inlineStr">
        <is>
          <t>Tipo cliente</t>
        </is>
      </c>
      <c r="C4" s="4" t="inlineStr">
        <is>
          <t>Ticket medio</t>
        </is>
      </c>
      <c r="D4" s="4" t="inlineStr">
        <is>
          <t>Eventos/año</t>
        </is>
      </c>
      <c r="E4" s="4" t="inlineStr">
        <is>
          <t>Estacionalidad</t>
        </is>
      </c>
      <c r="F4" s="4" t="inlineStr">
        <is>
          <t>Margen</t>
        </is>
      </c>
    </row>
    <row r="5">
      <c r="A5" s="5" t="inlineStr">
        <is>
          <t>B2C</t>
        </is>
      </c>
      <c r="B5" s="5" t="inlineStr">
        <is>
          <t>Boda multicultural temática 60-100 pax</t>
        </is>
      </c>
      <c r="C5" s="22" t="n">
        <v>5800</v>
      </c>
      <c r="D5" s="23" t="n">
        <v>18</v>
      </c>
      <c r="E5" s="5" t="inlineStr">
        <is>
          <t>Mayo-octubre</t>
        </is>
      </c>
      <c r="F5" s="23" t="inlineStr">
        <is>
          <t>55%</t>
        </is>
      </c>
    </row>
    <row r="6">
      <c r="A6" s="5" t="inlineStr">
        <is>
          <t>B2C</t>
        </is>
      </c>
      <c r="B6" s="5" t="inlineStr">
        <is>
          <t>Cumpleaños temático familiar 30-60 pax</t>
        </is>
      </c>
      <c r="C6" s="22" t="n">
        <v>1850</v>
      </c>
      <c r="D6" s="23" t="n">
        <v>22</v>
      </c>
      <c r="E6" s="5" t="inlineStr">
        <is>
          <t>Todo el año</t>
        </is>
      </c>
      <c r="F6" s="23" t="inlineStr">
        <is>
          <t>55%</t>
        </is>
      </c>
    </row>
    <row r="7">
      <c r="A7" s="5" t="inlineStr">
        <is>
          <t>B2C</t>
        </is>
      </c>
      <c r="B7" s="5" t="inlineStr">
        <is>
          <t>Aniversario / fiesta privada 40-80 pax</t>
        </is>
      </c>
      <c r="C7" s="22" t="n">
        <v>2400</v>
      </c>
      <c r="D7" s="23" t="n">
        <v>14</v>
      </c>
      <c r="E7" s="5" t="inlineStr">
        <is>
          <t>Todo el año + Navidad</t>
        </is>
      </c>
      <c r="F7" s="23" t="inlineStr">
        <is>
          <t>55%</t>
        </is>
      </c>
    </row>
    <row r="8">
      <c r="A8" s="5" t="inlineStr">
        <is>
          <t>B2C</t>
        </is>
      </c>
      <c r="B8" s="5" t="inlineStr">
        <is>
          <t>Comunión / bautizo 50-80 pax</t>
        </is>
      </c>
      <c r="C8" s="22" t="n">
        <v>1650</v>
      </c>
      <c r="D8" s="23" t="n">
        <v>12</v>
      </c>
      <c r="E8" s="5" t="inlineStr">
        <is>
          <t>Mayo-julio</t>
        </is>
      </c>
      <c r="F8" s="23" t="inlineStr">
        <is>
          <t>55%</t>
        </is>
      </c>
    </row>
    <row r="9">
      <c r="A9" s="5" t="inlineStr">
        <is>
          <t>B2C</t>
        </is>
      </c>
      <c r="B9" s="5" t="inlineStr">
        <is>
          <t>Baby shower / fiesta temática (estación única)</t>
        </is>
      </c>
      <c r="C9" s="22" t="n">
        <v>950</v>
      </c>
      <c r="D9" s="23" t="n">
        <v>10</v>
      </c>
      <c r="E9" s="5" t="inlineStr">
        <is>
          <t>Todo el año</t>
        </is>
      </c>
      <c r="F9" s="23" t="inlineStr">
        <is>
          <t>60%</t>
        </is>
      </c>
    </row>
    <row r="10">
      <c r="A10" s="5" t="inlineStr">
        <is>
          <t>B2B</t>
        </is>
      </c>
      <c r="B10" s="5" t="inlineStr">
        <is>
          <t>Corporate evento brand temático 50-150 pax</t>
        </is>
      </c>
      <c r="C10" s="22" t="n">
        <v>6800</v>
      </c>
      <c r="D10" s="23" t="n">
        <v>22</v>
      </c>
      <c r="E10" s="5" t="inlineStr">
        <is>
          <t>Mar-jun + sept-dic</t>
        </is>
      </c>
      <c r="F10" s="23" t="inlineStr">
        <is>
          <t>52%</t>
        </is>
      </c>
    </row>
    <row r="11">
      <c r="A11" s="5" t="inlineStr">
        <is>
          <t>B2B</t>
        </is>
      </c>
      <c r="B11" s="5" t="inlineStr">
        <is>
          <t>Wedding planner boda temática multi-station</t>
        </is>
      </c>
      <c r="C11" s="22" t="n">
        <v>5200</v>
      </c>
      <c r="D11" s="23" t="n">
        <v>24</v>
      </c>
      <c r="E11" s="5" t="inlineStr">
        <is>
          <t>Mayo-octubre</t>
        </is>
      </c>
      <c r="F11" s="23" t="inlineStr">
        <is>
          <t>50%</t>
        </is>
      </c>
    </row>
    <row r="12">
      <c r="A12" s="5" t="inlineStr">
        <is>
          <t>B2B</t>
        </is>
      </c>
      <c r="B12" s="5" t="inlineStr">
        <is>
          <t>Hotel boutique evento corporativo</t>
        </is>
      </c>
      <c r="C12" s="22" t="n">
        <v>4200</v>
      </c>
      <c r="D12" s="23" t="n">
        <v>16</v>
      </c>
      <c r="E12" s="5" t="inlineStr">
        <is>
          <t>Todo el año</t>
        </is>
      </c>
      <c r="F12" s="23" t="inlineStr">
        <is>
          <t>55%</t>
        </is>
      </c>
    </row>
    <row r="13">
      <c r="A13" s="5" t="inlineStr">
        <is>
          <t>B2B</t>
        </is>
      </c>
      <c r="B13" s="5" t="inlineStr">
        <is>
          <t>Embajada / evento diplomático multicultural</t>
        </is>
      </c>
      <c r="C13" s="22" t="n">
        <v>6500</v>
      </c>
      <c r="D13" s="23" t="n">
        <v>8</v>
      </c>
      <c r="E13" s="5" t="inlineStr">
        <is>
          <t>Todo el año</t>
        </is>
      </c>
      <c r="F13" s="23" t="inlineStr">
        <is>
          <t>50%</t>
        </is>
      </c>
    </row>
    <row r="14">
      <c r="A14" s="5" t="inlineStr">
        <is>
          <t>B2B</t>
        </is>
      </c>
      <c r="B14" s="5" t="inlineStr">
        <is>
          <t>Festival gastronómico / activación marca</t>
        </is>
      </c>
      <c r="C14" s="22" t="n">
        <v>3800</v>
      </c>
      <c r="D14" s="23" t="n">
        <v>27</v>
      </c>
      <c r="E14" s="5" t="inlineStr">
        <is>
          <t>Mar-oct + dic</t>
        </is>
      </c>
      <c r="F14" s="23" t="inlineStr">
        <is>
          <t>48%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38" customWidth="1" min="4" max="4"/>
  </cols>
  <sheetData>
    <row r="1" ht="28" customHeight="1">
      <c r="A1" s="1" t="inlineStr">
        <is>
          <t>KPIs y ratios sector</t>
        </is>
      </c>
    </row>
    <row r="2">
      <c r="A2" s="2" t="inlineStr">
        <is>
          <t>Benchmarks catering temático eventos España 2026</t>
        </is>
      </c>
    </row>
    <row r="4" ht="26" customHeight="1">
      <c r="A4" s="4" t="inlineStr">
        <is>
          <t>KPI</t>
        </is>
      </c>
      <c r="B4" s="4" t="inlineStr">
        <is>
          <t>Tu objetivo</t>
        </is>
      </c>
      <c r="C4" s="4" t="inlineStr">
        <is>
          <t>Sector top 25%</t>
        </is>
      </c>
      <c r="D4" s="4" t="inlineStr">
        <is>
          <t>Notas</t>
        </is>
      </c>
    </row>
    <row r="5">
      <c r="A5" s="5" t="inlineStr">
        <is>
          <t>Eventos / mes (operación estable)</t>
        </is>
      </c>
      <c r="B5" s="23" t="n">
        <v>14</v>
      </c>
      <c r="C5" s="23" t="n">
        <v>18</v>
      </c>
      <c r="D5" s="5" t="inlineStr">
        <is>
          <t>Suma B2C + B2B; pico 22-28 mayo-octubre</t>
        </is>
      </c>
    </row>
    <row r="6">
      <c r="A6" s="5" t="inlineStr">
        <is>
          <t>Ticket medio mixto</t>
        </is>
      </c>
      <c r="B6" s="23" t="inlineStr">
        <is>
          <t>3.700 €</t>
        </is>
      </c>
      <c r="C6" s="23" t="inlineStr">
        <is>
          <t>5.200 €</t>
        </is>
      </c>
      <c r="D6" s="5" t="inlineStr">
        <is>
          <t>Subir gama vía multi-station premium B2B corporate</t>
        </is>
      </c>
    </row>
    <row r="7">
      <c r="A7" s="5" t="inlineStr">
        <is>
          <t>Food cost %</t>
        </is>
      </c>
      <c r="B7" s="23" t="inlineStr">
        <is>
          <t>28 %</t>
        </is>
      </c>
      <c r="C7" s="23" t="inlineStr">
        <is>
          <t>23 %</t>
        </is>
      </c>
      <c r="D7" s="5" t="inlineStr">
        <is>
          <t>Acuerdos directos importadores especializados (EMB, Cominport)</t>
        </is>
      </c>
    </row>
    <row r="8">
      <c r="A8" s="5" t="inlineStr">
        <is>
          <t>Margen neto %</t>
        </is>
      </c>
      <c r="B8" s="23" t="inlineStr">
        <is>
          <t>27 %</t>
        </is>
      </c>
      <c r="C8" s="23" t="inlineStr">
        <is>
          <t>33 %</t>
        </is>
      </c>
      <c r="D8" s="5" t="inlineStr">
        <is>
          <t>Ahorro logística con cocina compartida + multi-evento por día</t>
        </is>
      </c>
    </row>
    <row r="9">
      <c r="A9" s="5" t="inlineStr">
        <is>
          <t>Tasa cancelación</t>
        </is>
      </c>
      <c r="B9" s="23" t="inlineStr">
        <is>
          <t>&lt; 7 %</t>
        </is>
      </c>
      <c r="C9" s="23" t="inlineStr">
        <is>
          <t>&lt; 4 %</t>
        </is>
      </c>
      <c r="D9" s="5" t="inlineStr">
        <is>
          <t>Anticipo 40 % + cláusula 21 días + plan B clima</t>
        </is>
      </c>
    </row>
    <row r="10">
      <c r="A10" s="5" t="inlineStr">
        <is>
          <t>NPS clientes B2C</t>
        </is>
      </c>
      <c r="B10" s="23" t="inlineStr">
        <is>
          <t>&gt; 75</t>
        </is>
      </c>
      <c r="C10" s="23" t="inlineStr">
        <is>
          <t>&gt; 85</t>
        </is>
      </c>
      <c r="D10" s="5" t="inlineStr">
        <is>
          <t>WhatsApp 24h post + foto recuerdo + QR review</t>
        </is>
      </c>
    </row>
    <row r="11">
      <c r="A11" s="5" t="inlineStr">
        <is>
          <t>Tasa repetición B2B</t>
        </is>
      </c>
      <c r="B11" s="23" t="inlineStr">
        <is>
          <t>&gt; 40 %</t>
        </is>
      </c>
      <c r="C11" s="23" t="inlineStr">
        <is>
          <t>&gt; 60 %</t>
        </is>
      </c>
      <c r="D11" s="5" t="inlineStr">
        <is>
          <t>Corporate brand contrata 4-8 eventos/año</t>
        </is>
      </c>
    </row>
    <row r="12">
      <c r="A12" s="5" t="inlineStr">
        <is>
          <t>Coste captación cliente B2C (CAC)</t>
        </is>
      </c>
      <c r="B12" s="23" t="inlineStr">
        <is>
          <t>85 €</t>
        </is>
      </c>
      <c r="C12" s="23" t="inlineStr">
        <is>
          <t>55 €</t>
        </is>
      </c>
      <c r="D12" s="5" t="inlineStr">
        <is>
          <t>SEO local + Bodas.net + Pinterest + IG</t>
        </is>
      </c>
    </row>
    <row r="13">
      <c r="A13" s="5" t="inlineStr">
        <is>
          <t>Lifetime Value B2B (LTV)</t>
        </is>
      </c>
      <c r="B13" s="23" t="inlineStr">
        <is>
          <t>12.500 €</t>
        </is>
      </c>
      <c r="C13" s="23" t="inlineStr">
        <is>
          <t>22.000 €</t>
        </is>
      </c>
      <c r="D13" s="5" t="inlineStr">
        <is>
          <t>Corporate fideliza × 4-5 eventos × 4.500€</t>
        </is>
      </c>
    </row>
    <row r="14">
      <c r="A14" s="5" t="inlineStr">
        <is>
          <t>Conceptos temáticos en portfolio</t>
        </is>
      </c>
      <c r="B14" s="23" t="inlineStr">
        <is>
          <t>5</t>
        </is>
      </c>
      <c r="C14" s="23" t="inlineStr">
        <is>
          <t>8-10</t>
        </is>
      </c>
      <c r="D14" s="5" t="inlineStr">
        <is>
          <t>Empieza con 3 dominados + añade 1-2/año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2026-04-28T20:57:32Z</dcterms:created>
  <dcterms:modified xmlns:dcterms="http://purl.org/dc/terms/" xmlns:xsi="http://www.w3.org/2001/XMLSchema-instance" xsi:type="dcterms:W3CDTF">2026-04-28T20:57:32Z</dcterms:modified>
</cp:coreProperties>
</file>