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ciones" sheetId="1" state="visible" r:id="rId1"/>
    <sheet name="Flujo Mensual" sheetId="2" state="visible" r:id="rId2"/>
    <sheet name="Al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formatCode="#,##0.00 €" numFmtId="164"/>
  </numFmts>
  <fonts count="13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i val="1"/>
      <color rgb="00888888"/>
      <sz val="11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b val="1"/>
      <color rgb="00FFD700"/>
      <sz val="12"/>
    </font>
    <font>
      <name val="Calibri"/>
      <b val="1"/>
      <color rgb="001565C0"/>
      <sz val="11"/>
    </font>
    <font>
      <name val="Calibri"/>
      <b val="1"/>
      <color rgb="00FFD700"/>
      <sz val="13"/>
    </font>
    <font>
      <name val="Calibri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borderId="0" fillId="0" fontId="0" numFmtId="0"/>
  </cellStyleXfs>
  <cellXfs count="19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  <xf borderId="0" fillId="0" fontId="4" numFmtId="0" pivotButton="0" quotePrefix="0" xfId="0"/>
    <xf borderId="0" fillId="0" fontId="5" numFmtId="0" pivotButton="0" quotePrefix="0" xfId="0"/>
    <xf applyAlignment="1" borderId="1" fillId="2" fontId="6" numFmtId="0" pivotButton="0" quotePrefix="0" xfId="0">
      <alignment horizontal="center" vertical="center" wrapText="1"/>
    </xf>
    <xf borderId="1" fillId="0" fontId="7" numFmtId="0" pivotButton="0" quotePrefix="0" xfId="0"/>
    <xf applyAlignment="1" borderId="1" fillId="3" fontId="8" numFmtId="164" pivotButton="0" quotePrefix="0" xfId="0">
      <alignment horizontal="right" vertical="center"/>
    </xf>
    <xf applyAlignment="1" borderId="1" fillId="0" fontId="7" numFmtId="164" pivotButton="0" quotePrefix="0" xfId="0">
      <alignment horizontal="right" vertical="center"/>
    </xf>
    <xf borderId="0" fillId="0" fontId="9" numFmtId="0" pivotButton="0" quotePrefix="0" xfId="0"/>
    <xf borderId="1" fillId="0" fontId="8" numFmtId="0" pivotButton="0" quotePrefix="0" xfId="0"/>
    <xf applyAlignment="1" borderId="1" fillId="0" fontId="10" numFmtId="164" pivotButton="0" quotePrefix="0" xfId="0">
      <alignment horizontal="right" vertical="center"/>
    </xf>
    <xf borderId="1" fillId="0" fontId="11" numFmtId="0" pivotButton="0" quotePrefix="0" xfId="0"/>
    <xf applyAlignment="1" borderId="1" fillId="0" fontId="9" numFmtId="164" pivotButton="0" quotePrefix="0" xfId="0">
      <alignment horizontal="right" vertical="center"/>
    </xf>
    <xf borderId="0" fillId="0" fontId="12" numFmtId="0" pivotButton="0" quotePrefix="0" xfId="0"/>
    <xf borderId="0" fillId="0" fontId="7" numFmtId="0" pivotButton="0" quotePrefix="0" xfId="0"/>
    <xf applyAlignment="1" borderId="1" fillId="0" fontId="8" numFmtId="164" pivotButton="0" quotePrefix="0" xfId="0">
      <alignment horizontal="right" vertical="center"/>
    </xf>
    <xf applyAlignment="1" borderId="1" fillId="0" fontId="8" numFmtId="0" pivotButton="0" quotePrefix="0" xfId="0">
      <alignment horizontal="center" vertical="center" wrapText="1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14"/>
  <sheetViews>
    <sheetView workbookViewId="0">
      <selection activeCell="A1" sqref="A1"/>
    </sheetView>
  </sheetViews>
  <sheetFormatPr baseColWidth="8" defaultRowHeight="15"/>
  <cols>
    <col customWidth="1" max="1" min="1" width="3"/>
    <col customWidth="1" max="2" min="2" width="85"/>
  </cols>
  <sheetData>
    <row r="2">
      <c r="B2" s="1" t="inlineStr">
        <is>
          <t>03 · Previsión de Tesorería (Cash Flow) — 12 Meses</t>
        </is>
      </c>
    </row>
    <row r="4">
      <c r="B4" s="2" t="inlineStr">
        <is>
          <t>AI Chef Pro · aichef.pro — Kit Plan Financiero para Restaurantes</t>
        </is>
      </c>
    </row>
    <row r="6">
      <c r="B6" s="3" t="inlineStr">
        <is>
          <t>Cómo usar esta plantilla:</t>
        </is>
      </c>
    </row>
    <row r="7">
      <c r="B7" s="4" t="inlineStr">
        <is>
          <t>▸ Introduce los cobros y pagos previstos mes a mes.</t>
        </is>
      </c>
    </row>
    <row r="8">
      <c r="B8" s="4" t="inlineStr">
        <is>
          <t>▸ El IVA trimestral se calcula automáticamente (línea 'Liquidación IVA').</t>
        </is>
      </c>
    </row>
    <row r="9">
      <c r="B9" s="4" t="inlineStr">
        <is>
          <t>▸ La pestaña 'Alertas' marca en rojo los meses donde el saldo &lt; umbral de seguridad.</t>
        </is>
      </c>
    </row>
    <row r="10">
      <c r="B10" t="inlineStr"/>
    </row>
    <row r="11">
      <c r="B11" s="3" t="inlineStr">
        <is>
          <t>Conceptos:</t>
        </is>
      </c>
    </row>
    <row r="12">
      <c r="B12" s="4" t="inlineStr">
        <is>
          <t>▸ Cobros = ingresos reales de caja (con IVA incluido).</t>
        </is>
      </c>
    </row>
    <row r="13">
      <c r="B13" s="4" t="inlineStr">
        <is>
          <t>▸ Pagos = salidas reales de caja (con IVA incluido).</t>
        </is>
      </c>
    </row>
    <row r="14">
      <c r="B14" s="4" t="inlineStr">
        <is>
          <t>▸ Saldo Final = Saldo Inicial + Cobros - Pagos.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1565C0"/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cols>
    <col customWidth="1" max="1" min="1" width="30"/>
    <col customWidth="1" max="2" min="2" width="14"/>
    <col customWidth="1" max="3" min="3" width="14"/>
    <col customWidth="1" max="4" min="4" width="14"/>
    <col customWidth="1" max="5" min="5" width="14"/>
    <col customWidth="1" max="6" min="6" width="14"/>
    <col customWidth="1" max="7" min="7" width="14"/>
    <col customWidth="1" max="8" min="8" width="14"/>
    <col customWidth="1" max="9" min="9" width="14"/>
    <col customWidth="1" max="10" min="10" width="14"/>
    <col customWidth="1" max="11" min="11" width="14"/>
    <col customWidth="1" max="12" min="12" width="14"/>
    <col customWidth="1" max="13" min="13" width="14"/>
  </cols>
  <sheetData>
    <row r="1">
      <c r="A1" s="5" t="inlineStr">
        <is>
          <t>Cash Flow Forecast — 12 Meses</t>
        </is>
      </c>
    </row>
    <row r="2">
      <c r="A2" s="2" t="inlineStr">
        <is>
          <t>AI Chef Pro · aichef.pro — Kit Plan Financiero para Restaurantes</t>
        </is>
      </c>
    </row>
    <row r="4">
      <c r="A4" s="6" t="inlineStr">
        <is>
          <t>Concepto</t>
        </is>
      </c>
      <c r="B4" s="6" t="inlineStr">
        <is>
          <t>Ene</t>
        </is>
      </c>
      <c r="C4" s="6" t="inlineStr">
        <is>
          <t>Feb</t>
        </is>
      </c>
      <c r="D4" s="6" t="inlineStr">
        <is>
          <t>Mar</t>
        </is>
      </c>
      <c r="E4" s="6" t="inlineStr">
        <is>
          <t>Abr</t>
        </is>
      </c>
      <c r="F4" s="6" t="inlineStr">
        <is>
          <t>May</t>
        </is>
      </c>
      <c r="G4" s="6" t="inlineStr">
        <is>
          <t>Jun</t>
        </is>
      </c>
      <c r="H4" s="6" t="inlineStr">
        <is>
          <t>Jul</t>
        </is>
      </c>
      <c r="I4" s="6" t="inlineStr">
        <is>
          <t>Ago</t>
        </is>
      </c>
      <c r="J4" s="6" t="inlineStr">
        <is>
          <t>Sep</t>
        </is>
      </c>
      <c r="K4" s="6" t="inlineStr">
        <is>
          <t>Oct</t>
        </is>
      </c>
      <c r="L4" s="6" t="inlineStr">
        <is>
          <t>Nov</t>
        </is>
      </c>
      <c r="M4" s="6" t="inlineStr">
        <is>
          <t>Dic</t>
        </is>
      </c>
    </row>
    <row r="5">
      <c r="A5" s="7" t="inlineStr">
        <is>
          <t>SALDO INICIAL</t>
        </is>
      </c>
      <c r="B5" s="8" t="n">
        <v>15000</v>
      </c>
      <c r="C5" s="9">
        <f>B22</f>
        <v/>
      </c>
      <c r="D5" s="9">
        <f>C22</f>
        <v/>
      </c>
      <c r="E5" s="9">
        <f>D22</f>
        <v/>
      </c>
      <c r="F5" s="9">
        <f>E22</f>
        <v/>
      </c>
      <c r="G5" s="9">
        <f>F22</f>
        <v/>
      </c>
      <c r="H5" s="9">
        <f>G22</f>
        <v/>
      </c>
      <c r="I5" s="9">
        <f>H22</f>
        <v/>
      </c>
      <c r="J5" s="9">
        <f>I22</f>
        <v/>
      </c>
      <c r="K5" s="9">
        <f>J22</f>
        <v/>
      </c>
      <c r="L5" s="9">
        <f>K22</f>
        <v/>
      </c>
      <c r="M5" s="9">
        <f>L22</f>
        <v/>
      </c>
    </row>
    <row r="6">
      <c r="A6" s="10" t="inlineStr">
        <is>
          <t>COBROS (Entradas)</t>
        </is>
      </c>
    </row>
    <row r="7">
      <c r="A7" s="11" t="inlineStr">
        <is>
          <t>Ventas comedor (IVA incl.)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</row>
    <row r="8">
      <c r="A8" s="11" t="inlineStr">
        <is>
          <t>Ventas barra (IVA incl.)</t>
        </is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</row>
    <row r="9">
      <c r="A9" s="11" t="inlineStr">
        <is>
          <t>Ventas delivery (IVA incl.)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</row>
    <row r="10">
      <c r="A10" s="11" t="inlineStr">
        <is>
          <t>Eventos / Catering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</row>
    <row r="11">
      <c r="A11" s="11" t="inlineStr">
        <is>
          <t>Otros cobros</t>
        </is>
      </c>
      <c r="B11" s="8" t="n">
        <v>0</v>
      </c>
      <c r="C11" s="8" t="n">
        <v>0</v>
      </c>
      <c r="D11" s="8" t="n">
        <v>0</v>
      </c>
      <c r="E11" s="8" t="n">
        <v>0</v>
      </c>
      <c r="F11" s="8" t="n">
        <v>0</v>
      </c>
      <c r="G11" s="8" t="n">
        <v>0</v>
      </c>
      <c r="H11" s="8" t="n">
        <v>0</v>
      </c>
      <c r="I11" s="8" t="n">
        <v>0</v>
      </c>
      <c r="J11" s="8" t="n">
        <v>0</v>
      </c>
      <c r="K11" s="8" t="n">
        <v>0</v>
      </c>
      <c r="L11" s="8" t="n">
        <v>0</v>
      </c>
      <c r="M11" s="8" t="n">
        <v>0</v>
      </c>
    </row>
    <row r="12">
      <c r="A12" s="7" t="inlineStr">
        <is>
          <t>TOTAL COBROS</t>
        </is>
      </c>
      <c r="B12" s="9">
        <f>SUM(B7:B11)</f>
        <v/>
      </c>
      <c r="C12" s="9">
        <f>SUM(C7:C11)</f>
        <v/>
      </c>
      <c r="D12" s="9">
        <f>SUM(D7:D11)</f>
        <v/>
      </c>
      <c r="E12" s="9">
        <f>SUM(E7:E11)</f>
        <v/>
      </c>
      <c r="F12" s="9">
        <f>SUM(F7:F11)</f>
        <v/>
      </c>
      <c r="G12" s="9">
        <f>SUM(G7:G11)</f>
        <v/>
      </c>
      <c r="H12" s="9">
        <f>SUM(H7:H11)</f>
        <v/>
      </c>
      <c r="I12" s="9">
        <f>SUM(I7:I11)</f>
        <v/>
      </c>
      <c r="J12" s="9">
        <f>SUM(J7:J11)</f>
        <v/>
      </c>
      <c r="K12" s="9">
        <f>SUM(K7:K11)</f>
        <v/>
      </c>
      <c r="L12" s="9">
        <f>SUM(L7:L11)</f>
        <v/>
      </c>
      <c r="M12" s="9">
        <f>SUM(M7:M11)</f>
        <v/>
      </c>
    </row>
    <row r="13">
      <c r="A13" s="10" t="inlineStr">
        <is>
          <t>PAGOS (Salidas)</t>
        </is>
      </c>
    </row>
    <row r="14">
      <c r="A14" s="11" t="inlineStr">
        <is>
          <t>Compras materia prima</t>
        </is>
      </c>
      <c r="B14" s="8" t="n">
        <v>0</v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</row>
    <row r="15">
      <c r="A15" s="11" t="inlineStr">
        <is>
          <t>Nóminas + SS</t>
        </is>
      </c>
      <c r="B15" s="8" t="n">
        <v>0</v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</row>
    <row r="16">
      <c r="A16" s="11" t="inlineStr">
        <is>
          <t>Alquiler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</row>
    <row r="17">
      <c r="A17" s="11" t="inlineStr">
        <is>
          <t>Suministros</t>
        </is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0</v>
      </c>
    </row>
    <row r="18">
      <c r="A18" s="11" t="inlineStr">
        <is>
          <t>Marketing</t>
        </is>
      </c>
      <c r="B18" s="8" t="n">
        <v>0</v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</row>
    <row r="19">
      <c r="A19" s="11" t="inlineStr">
        <is>
          <t>Gestoría / Admin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</row>
    <row r="20">
      <c r="A20" s="11" t="inlineStr">
        <is>
          <t>Cuota préstamo</t>
        </is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</row>
    <row r="21">
      <c r="A21" s="11" t="inlineStr">
        <is>
          <t>Liquidación IVA trimestral</t>
        </is>
      </c>
      <c r="B21" s="8" t="n">
        <v>0</v>
      </c>
      <c r="C21" s="8" t="n">
        <v>0</v>
      </c>
      <c r="D21" s="8" t="n">
        <v>0</v>
      </c>
      <c r="E21" s="8" t="n">
        <v>0</v>
      </c>
      <c r="F21" s="8" t="n">
        <v>0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0</v>
      </c>
      <c r="L21" s="8" t="n">
        <v>0</v>
      </c>
      <c r="M21" s="8" t="n">
        <v>0</v>
      </c>
    </row>
    <row r="22">
      <c r="A22" s="11" t="inlineStr">
        <is>
          <t>Otros pagos</t>
        </is>
      </c>
      <c r="B22" s="8" t="n">
        <v>0</v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</row>
    <row r="23">
      <c r="A23" s="7" t="inlineStr">
        <is>
          <t>TOTAL PAGOS</t>
        </is>
      </c>
      <c r="B23" s="9">
        <f>SUM(B14:B22)</f>
        <v/>
      </c>
      <c r="C23" s="9">
        <f>SUM(C14:C22)</f>
        <v/>
      </c>
      <c r="D23" s="9">
        <f>SUM(D14:D22)</f>
        <v/>
      </c>
      <c r="E23" s="9">
        <f>SUM(E14:E22)</f>
        <v/>
      </c>
      <c r="F23" s="9">
        <f>SUM(F14:F22)</f>
        <v/>
      </c>
      <c r="G23" s="9">
        <f>SUM(G14:G22)</f>
        <v/>
      </c>
      <c r="H23" s="9">
        <f>SUM(H14:H22)</f>
        <v/>
      </c>
      <c r="I23" s="9">
        <f>SUM(I14:I22)</f>
        <v/>
      </c>
      <c r="J23" s="9">
        <f>SUM(J14:J22)</f>
        <v/>
      </c>
      <c r="K23" s="9">
        <f>SUM(K14:K22)</f>
        <v/>
      </c>
      <c r="L23" s="9">
        <f>SUM(L14:L22)</f>
        <v/>
      </c>
      <c r="M23" s="9">
        <f>SUM(M14:M22)</f>
        <v/>
      </c>
    </row>
    <row r="24">
      <c r="A24" s="7" t="inlineStr">
        <is>
          <t>FLUJO NETO MES</t>
        </is>
      </c>
      <c r="B24" s="12">
        <f>B12-B23</f>
        <v/>
      </c>
      <c r="C24" s="12">
        <f>C12-C23</f>
        <v/>
      </c>
      <c r="D24" s="12">
        <f>D12-D23</f>
        <v/>
      </c>
      <c r="E24" s="12">
        <f>E12-E23</f>
        <v/>
      </c>
      <c r="F24" s="12">
        <f>F12-F23</f>
        <v/>
      </c>
      <c r="G24" s="12">
        <f>G12-G23</f>
        <v/>
      </c>
      <c r="H24" s="12">
        <f>H12-H23</f>
        <v/>
      </c>
      <c r="I24" s="12">
        <f>I12-I23</f>
        <v/>
      </c>
      <c r="J24" s="12">
        <f>J12-J23</f>
        <v/>
      </c>
      <c r="K24" s="12">
        <f>K12-K23</f>
        <v/>
      </c>
      <c r="L24" s="12">
        <f>L12-L23</f>
        <v/>
      </c>
      <c r="M24" s="12">
        <f>M12-M23</f>
        <v/>
      </c>
    </row>
    <row r="25">
      <c r="A25" s="13" t="inlineStr">
        <is>
          <t>SALDO FINAL</t>
        </is>
      </c>
      <c r="B25" s="14">
        <f>B5+B24</f>
        <v/>
      </c>
      <c r="C25" s="14">
        <f>C5+C24</f>
        <v/>
      </c>
      <c r="D25" s="14">
        <f>D5+D24</f>
        <v/>
      </c>
      <c r="E25" s="14">
        <f>E5+E24</f>
        <v/>
      </c>
      <c r="F25" s="14">
        <f>F5+F24</f>
        <v/>
      </c>
      <c r="G25" s="14">
        <f>G5+G24</f>
        <v/>
      </c>
      <c r="H25" s="14">
        <f>H5+H24</f>
        <v/>
      </c>
      <c r="I25" s="14">
        <f>I5+I24</f>
        <v/>
      </c>
      <c r="J25" s="14">
        <f>J5+J24</f>
        <v/>
      </c>
      <c r="K25" s="14">
        <f>K5+K24</f>
        <v/>
      </c>
      <c r="L25" s="14">
        <f>L5+L24</f>
        <v/>
      </c>
      <c r="M25" s="14">
        <f>M5+M24</f>
        <v/>
      </c>
    </row>
    <row r="27">
      <c r="A27" s="15" t="inlineStr">
        <is>
          <t>© 2026 AI Chef Pro · aichef.pro</t>
        </is>
      </c>
    </row>
  </sheetData>
  <mergeCells count="3">
    <mergeCell ref="A27:M27"/>
    <mergeCell ref="A1:M1"/>
    <mergeCell ref="A2:M2"/>
  </mergeCells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tabColor rgb="00D32F2F"/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customWidth="1" max="1" min="1" width="3"/>
    <col customWidth="1" max="2" min="2" width="20"/>
    <col customWidth="1" max="3" min="3" width="18"/>
    <col customWidth="1" max="4" min="4" width="18"/>
    <col customWidth="1" max="5" min="5" width="18"/>
  </cols>
  <sheetData>
    <row r="1">
      <c r="B1" s="5" t="inlineStr">
        <is>
          <t>Alertas de Tesorería</t>
        </is>
      </c>
    </row>
    <row r="3">
      <c r="B3" s="16" t="inlineStr">
        <is>
          <t>Umbral de seguridad (€):</t>
        </is>
      </c>
      <c r="C3" s="8" t="n">
        <v>5000</v>
      </c>
    </row>
    <row r="5">
      <c r="A5" s="6" t="inlineStr"/>
      <c r="B5" s="6" t="inlineStr">
        <is>
          <t>Mes</t>
        </is>
      </c>
      <c r="C5" s="6" t="inlineStr">
        <is>
          <t>Saldo Final</t>
        </is>
      </c>
      <c r="D5" s="6" t="inlineStr">
        <is>
          <t>Alerta</t>
        </is>
      </c>
    </row>
    <row r="6">
      <c r="B6" s="11" t="inlineStr">
        <is>
          <t>Ene</t>
        </is>
      </c>
      <c r="C6" s="17">
        <f>'Flujo Mensual'!B25</f>
        <v/>
      </c>
      <c r="D6" s="18">
        <f>IF(C6&lt;$C$3,"⚠️ BAJO MÍNIMO","OK")</f>
        <v/>
      </c>
    </row>
    <row r="7">
      <c r="B7" s="11" t="inlineStr">
        <is>
          <t>Feb</t>
        </is>
      </c>
      <c r="C7" s="17">
        <f>'Flujo Mensual'!C25</f>
        <v/>
      </c>
      <c r="D7" s="18">
        <f>IF(C7&lt;$C$3,"⚠️ BAJO MÍNIMO","OK")</f>
        <v/>
      </c>
    </row>
    <row r="8">
      <c r="B8" s="11" t="inlineStr">
        <is>
          <t>Mar</t>
        </is>
      </c>
      <c r="C8" s="17">
        <f>'Flujo Mensual'!D25</f>
        <v/>
      </c>
      <c r="D8" s="18">
        <f>IF(C8&lt;$C$3,"⚠️ BAJO MÍNIMO","OK")</f>
        <v/>
      </c>
    </row>
    <row r="9">
      <c r="B9" s="11" t="inlineStr">
        <is>
          <t>Abr</t>
        </is>
      </c>
      <c r="C9" s="17">
        <f>'Flujo Mensual'!E25</f>
        <v/>
      </c>
      <c r="D9" s="18">
        <f>IF(C9&lt;$C$3,"⚠️ BAJO MÍNIMO","OK")</f>
        <v/>
      </c>
    </row>
    <row r="10">
      <c r="B10" s="11" t="inlineStr">
        <is>
          <t>May</t>
        </is>
      </c>
      <c r="C10" s="17">
        <f>'Flujo Mensual'!F25</f>
        <v/>
      </c>
      <c r="D10" s="18">
        <f>IF(C10&lt;$C$3,"⚠️ BAJO MÍNIMO","OK")</f>
        <v/>
      </c>
    </row>
    <row r="11">
      <c r="B11" s="11" t="inlineStr">
        <is>
          <t>Jun</t>
        </is>
      </c>
      <c r="C11" s="17">
        <f>'Flujo Mensual'!G25</f>
        <v/>
      </c>
      <c r="D11" s="18">
        <f>IF(C11&lt;$C$3,"⚠️ BAJO MÍNIMO","OK")</f>
        <v/>
      </c>
    </row>
    <row r="12">
      <c r="B12" s="11" t="inlineStr">
        <is>
          <t>Jul</t>
        </is>
      </c>
      <c r="C12" s="17">
        <f>'Flujo Mensual'!H25</f>
        <v/>
      </c>
      <c r="D12" s="18">
        <f>IF(C12&lt;$C$3,"⚠️ BAJO MÍNIMO","OK")</f>
        <v/>
      </c>
    </row>
    <row r="13">
      <c r="B13" s="11" t="inlineStr">
        <is>
          <t>Ago</t>
        </is>
      </c>
      <c r="C13" s="17">
        <f>'Flujo Mensual'!I25</f>
        <v/>
      </c>
      <c r="D13" s="18">
        <f>IF(C13&lt;$C$3,"⚠️ BAJO MÍNIMO","OK")</f>
        <v/>
      </c>
    </row>
    <row r="14">
      <c r="B14" s="11" t="inlineStr">
        <is>
          <t>Sep</t>
        </is>
      </c>
      <c r="C14" s="17">
        <f>'Flujo Mensual'!J25</f>
        <v/>
      </c>
      <c r="D14" s="18">
        <f>IF(C14&lt;$C$3,"⚠️ BAJO MÍNIMO","OK")</f>
        <v/>
      </c>
    </row>
    <row r="15">
      <c r="B15" s="11" t="inlineStr">
        <is>
          <t>Oct</t>
        </is>
      </c>
      <c r="C15" s="17">
        <f>'Flujo Mensual'!K25</f>
        <v/>
      </c>
      <c r="D15" s="18">
        <f>IF(C15&lt;$C$3,"⚠️ BAJO MÍNIMO","OK")</f>
        <v/>
      </c>
    </row>
    <row r="16">
      <c r="B16" s="11" t="inlineStr">
        <is>
          <t>Nov</t>
        </is>
      </c>
      <c r="C16" s="17">
        <f>'Flujo Mensual'!L25</f>
        <v/>
      </c>
      <c r="D16" s="18">
        <f>IF(C16&lt;$C$3,"⚠️ BAJO MÍNIMO","OK")</f>
        <v/>
      </c>
    </row>
    <row r="17">
      <c r="B17" s="11" t="inlineStr">
        <is>
          <t>Dic</t>
        </is>
      </c>
      <c r="C17" s="17">
        <f>'Flujo Mensual'!M25</f>
        <v/>
      </c>
      <c r="D17" s="18">
        <f>IF(C17&lt;$C$3,"⚠️ BAJO MÍNIMO","OK")</f>
        <v/>
      </c>
    </row>
    <row r="20">
      <c r="A20" s="15" t="inlineStr">
        <is>
          <t>© 2026 AI Chef Pro · aichef.pro</t>
        </is>
      </c>
    </row>
  </sheetData>
  <mergeCells count="2">
    <mergeCell ref="A20:E20"/>
    <mergeCell ref="B1:E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2026-04-05T10:13:00Z</dcterms:created>
  <dcterms:modified xsi:type="dcterms:W3CDTF">2026-04-05T10:13:00Z</dcterms:modified>
</cp:coreProperties>
</file>