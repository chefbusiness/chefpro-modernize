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Datos" sheetId="2" state="visible" r:id="rId2"/>
    <sheet name="Break-Even" sheetId="3" state="visible" r:id="rId3"/>
    <sheet name="E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#,##0.00 €" numFmtId="164"/>
    <numFmt formatCode="0.0%" numFmtId="165"/>
  </numFmts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999999"/>
      <sz val="9"/>
    </font>
    <font>
      <name val="Calibri"/>
      <b val="1"/>
      <sz val="11"/>
    </font>
    <font>
      <name val="Calibri"/>
      <b val="1"/>
      <color rgb="001565C0"/>
      <sz val="11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0" fillId="0" fontId="7" numFmtId="0" pivotButton="0" quotePrefix="0" xfId="0"/>
    <xf borderId="1" fillId="0" fontId="8" numFmtId="0" pivotButton="0" quotePrefix="0" xfId="0"/>
    <xf applyAlignment="1" borderId="1" fillId="3" fontId="8" numFmtId="164" pivotButton="0" quotePrefix="0" xfId="0">
      <alignment horizontal="right" vertical="center"/>
    </xf>
    <xf borderId="0" fillId="0" fontId="9" numFmtId="0" pivotButton="0" quotePrefix="0" xfId="0"/>
    <xf borderId="1" fillId="0" fontId="10" numFmtId="0" pivotButton="0" quotePrefix="0" xfId="0"/>
    <xf applyAlignment="1" borderId="1" fillId="0" fontId="10" numFmtId="164" pivotButton="0" quotePrefix="0" xfId="0">
      <alignment horizontal="right" vertical="center"/>
    </xf>
    <xf applyAlignment="1" borderId="1" fillId="3" fontId="8" numFmtId="165" pivotButton="0" quotePrefix="0" xfId="0">
      <alignment horizontal="right" vertical="center"/>
    </xf>
    <xf applyAlignment="1" borderId="1" fillId="3" fontId="8" numFmtId="3" pivotButton="0" quotePrefix="0" xfId="0">
      <alignment horizontal="right" vertical="center"/>
    </xf>
    <xf applyAlignment="1" borderId="1" fillId="0" fontId="8" numFmtId="164" pivotButton="0" quotePrefix="0" xfId="0">
      <alignment horizontal="right" vertical="center"/>
    </xf>
    <xf applyAlignment="1" borderId="1" fillId="0" fontId="8" numFmtId="165" pivotButton="0" quotePrefix="0" xfId="0">
      <alignment horizontal="right" vertical="center"/>
    </xf>
    <xf applyAlignment="1" borderId="1" fillId="0" fontId="11" numFmtId="164" pivotButton="0" quotePrefix="0" xfId="0">
      <alignment horizontal="right" vertical="center"/>
    </xf>
    <xf applyAlignment="1" borderId="1" fillId="0" fontId="8" numFmtId="3" pivotButton="0" quotePrefix="0" xfId="0">
      <alignment horizontal="right" vertical="center"/>
    </xf>
    <xf applyAlignment="1" borderId="1" fillId="4" fontId="8" numFmtId="164" pivotButton="0" quotePrefix="0" xfId="0">
      <alignment horizontal="right" vertical="center"/>
    </xf>
    <xf applyAlignment="1" borderId="1" fillId="5" fontId="8" numFmtId="164" pivotButton="0" quotePrefix="0" xfId="0">
      <alignment horizontal="right" vertical="center"/>
    </xf>
    <xf applyAlignment="1" borderId="1" fillId="6" fontId="8" numFmtId="164" pivotButton="0" quotePrefix="0" xfId="0">
      <alignment horizontal="right" vertical="center"/>
    </xf>
    <xf applyAlignment="1" borderId="1" fillId="4" fontId="8" numFmtId="3" pivotButton="0" quotePrefix="0" xfId="0">
      <alignment horizontal="right" vertical="center"/>
    </xf>
    <xf applyAlignment="1" borderId="1" fillId="5" fontId="8" numFmtId="3" pivotButton="0" quotePrefix="0" xfId="0">
      <alignment horizontal="right" vertical="center"/>
    </xf>
    <xf applyAlignment="1" borderId="1" fillId="6" fontId="8" numFmtId="3" pivotButton="0" quotePrefix="0" xfId="0">
      <alignment horizontal="right" vertical="center"/>
    </xf>
    <xf applyAlignment="1" borderId="1" fillId="4" fontId="8" numFmtId="165" pivotButton="0" quotePrefix="0" xfId="0">
      <alignment horizontal="right" vertical="center"/>
    </xf>
    <xf applyAlignment="1" borderId="1" fillId="5" fontId="8" numFmtId="165" pivotButton="0" quotePrefix="0" xfId="0">
      <alignment horizontal="right" vertical="center"/>
    </xf>
    <xf applyAlignment="1" borderId="1" fillId="6" fontId="8" numFmtId="165" pivotButton="0" quotePrefix="0" xfId="0">
      <alignment horizontal="right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5"/>
  </cols>
  <sheetData>
    <row r="2">
      <c r="B2" s="1" t="inlineStr">
        <is>
          <t>02 · Calculadora de Punto de Equilibrio</t>
        </is>
      </c>
    </row>
    <row r="4">
      <c r="B4" s="2" t="inlineStr">
        <is>
          <t>AI Chef Pro · aichef.pro — Kit Plan Financiero para Restaurantes</t>
        </is>
      </c>
    </row>
    <row r="6">
      <c r="B6" s="3" t="inlineStr">
        <is>
          <t>Cómo usar esta plantilla:</t>
        </is>
      </c>
    </row>
    <row r="7">
      <c r="B7" s="4" t="inlineStr">
        <is>
          <t>▸ En la pestaña 'Datos', introduce tus costes fijos mensuales, % de coste variable y ticket medio.</t>
        </is>
      </c>
    </row>
    <row r="8">
      <c r="B8" s="4" t="inlineStr">
        <is>
          <t>▸ La pestaña 'Break-Even' calcula automáticamente la facturación mínima y cubiertos/día necesarios.</t>
        </is>
      </c>
    </row>
    <row r="9">
      <c r="B9" s="4" t="inlineStr">
        <is>
          <t>▸ La pestaña 'Escenarios' muestra 3 escenarios (pesimista, base, optimista).</t>
        </is>
      </c>
    </row>
    <row r="10">
      <c r="B10" t="inlineStr"/>
    </row>
    <row r="11">
      <c r="B11" s="3" t="inlineStr">
        <is>
          <t>Conceptos clave:</t>
        </is>
      </c>
    </row>
    <row r="12">
      <c r="B12" s="4" t="inlineStr">
        <is>
          <t>▸ Costes Fijos: alquiler, nóminas fijas, seguros, cuotas — no varían con la actividad.</t>
        </is>
      </c>
    </row>
    <row r="13">
      <c r="B13" s="4" t="inlineStr">
        <is>
          <t>▸ Costes Variables (%): food cost, extras, comisiones — proporción de cada venta.</t>
        </is>
      </c>
    </row>
    <row r="14">
      <c r="B14" s="4" t="inlineStr">
        <is>
          <t>▸ Margen de Contribución = 1 - % Coste Variable.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35"/>
    <col customWidth="1" max="3" min="3" width="20"/>
    <col customWidth="1" max="4" min="4" width="30"/>
  </cols>
  <sheetData>
    <row r="1">
      <c r="B1" s="5" t="inlineStr">
        <is>
          <t>Datos de Entrada — Punto de Equilibrio</t>
        </is>
      </c>
    </row>
    <row r="2">
      <c r="B2" s="2" t="inlineStr">
        <is>
          <t>AI Chef Pro · aichef.pro — Kit Plan Financiero para Restaurantes</t>
        </is>
      </c>
    </row>
    <row r="4">
      <c r="A4" s="6" t="inlineStr"/>
      <c r="B4" s="6" t="inlineStr">
        <is>
          <t>Concepto</t>
        </is>
      </c>
      <c r="C4" s="6" t="inlineStr">
        <is>
          <t>Valor</t>
        </is>
      </c>
      <c r="D4" s="6" t="inlineStr">
        <is>
          <t>Notas</t>
        </is>
      </c>
    </row>
    <row r="5">
      <c r="B5" s="7" t="inlineStr">
        <is>
          <t>COSTES FIJOS MENSUALES</t>
        </is>
      </c>
    </row>
    <row r="6">
      <c r="B6" s="8" t="inlineStr">
        <is>
          <t>Alquiler mensual</t>
        </is>
      </c>
      <c r="C6" s="9" t="n">
        <v>3000</v>
      </c>
      <c r="D6" s="10" t="inlineStr">
        <is>
          <t>€/mes</t>
        </is>
      </c>
    </row>
    <row r="7">
      <c r="B7" s="8" t="inlineStr">
        <is>
          <t>Nóminas fijas (bruto)</t>
        </is>
      </c>
      <c r="C7" s="9" t="n">
        <v>12000</v>
      </c>
      <c r="D7" s="10" t="inlineStr">
        <is>
          <t>€/mes — incluye SS empresa</t>
        </is>
      </c>
    </row>
    <row r="8">
      <c r="B8" s="8" t="inlineStr">
        <is>
          <t>Seguros</t>
        </is>
      </c>
      <c r="C8" s="9" t="n">
        <v>400</v>
      </c>
      <c r="D8" s="10" t="inlineStr">
        <is>
          <t>€/mes</t>
        </is>
      </c>
    </row>
    <row r="9">
      <c r="B9" s="8" t="inlineStr">
        <is>
          <t>Suministros (luz, agua, gas)</t>
        </is>
      </c>
      <c r="C9" s="9" t="n">
        <v>1500</v>
      </c>
      <c r="D9" s="10" t="inlineStr">
        <is>
          <t>€/mes</t>
        </is>
      </c>
    </row>
    <row r="10">
      <c r="B10" s="8" t="inlineStr">
        <is>
          <t>Marketing fijo</t>
        </is>
      </c>
      <c r="C10" s="9" t="n">
        <v>500</v>
      </c>
      <c r="D10" s="10" t="inlineStr">
        <is>
          <t>€/mes</t>
        </is>
      </c>
    </row>
    <row r="11">
      <c r="B11" s="8" t="inlineStr">
        <is>
          <t>Gestoría / Administración</t>
        </is>
      </c>
      <c r="C11" s="9" t="n">
        <v>300</v>
      </c>
      <c r="D11" s="10" t="inlineStr">
        <is>
          <t>€/mes</t>
        </is>
      </c>
    </row>
    <row r="12">
      <c r="B12" s="8" t="inlineStr">
        <is>
          <t>Cuota préstamo</t>
        </is>
      </c>
      <c r="C12" s="9" t="n">
        <v>800</v>
      </c>
      <c r="D12" s="10" t="inlineStr">
        <is>
          <t>€/mes</t>
        </is>
      </c>
    </row>
    <row r="13">
      <c r="B13" s="8" t="inlineStr">
        <is>
          <t>Otros gastos fijos</t>
        </is>
      </c>
      <c r="C13" s="9" t="n">
        <v>500</v>
      </c>
      <c r="D13" s="10" t="inlineStr">
        <is>
          <t>€/mes</t>
        </is>
      </c>
    </row>
    <row r="14">
      <c r="B14" s="11" t="inlineStr">
        <is>
          <t>TOTAL COSTES FIJOS</t>
        </is>
      </c>
      <c r="C14" s="12">
        <f>SUM(C6:C13)</f>
        <v/>
      </c>
    </row>
    <row r="16">
      <c r="B16" s="7" t="inlineStr">
        <is>
          <t>COSTES VARIABLES</t>
        </is>
      </c>
    </row>
    <row r="17">
      <c r="B17" s="8" t="inlineStr">
        <is>
          <t>% Coste Variable sobre ventas</t>
        </is>
      </c>
      <c r="C17" s="13" t="n">
        <v>0.35</v>
      </c>
      <c r="D17" s="10" t="inlineStr">
        <is>
          <t>Food cost + variable costs (30-40% típico)</t>
        </is>
      </c>
    </row>
    <row r="19">
      <c r="B19" s="7" t="inlineStr">
        <is>
          <t>TICKET MEDIO</t>
        </is>
      </c>
    </row>
    <row r="20">
      <c r="B20" s="8" t="inlineStr">
        <is>
          <t>Ticket medio por comensal</t>
        </is>
      </c>
      <c r="C20" s="9" t="n">
        <v>22</v>
      </c>
    </row>
    <row r="21">
      <c r="B21" s="8" t="inlineStr">
        <is>
          <t>Días de apertura al mes</t>
        </is>
      </c>
      <c r="C21" s="14" t="n">
        <v>26</v>
      </c>
    </row>
    <row r="24">
      <c r="A24" s="10" t="inlineStr">
        <is>
          <t>© 2026 AI Chef Pro · aichef.pro</t>
        </is>
      </c>
    </row>
  </sheetData>
  <mergeCells count="2">
    <mergeCell ref="A24:D24"/>
    <mergeCell ref="B1:D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40"/>
    <col customWidth="1" max="3" min="3" width="22"/>
  </cols>
  <sheetData>
    <row r="1">
      <c r="B1" s="5" t="inlineStr">
        <is>
          <t>Cálculo del Punto de Equilibrio</t>
        </is>
      </c>
    </row>
    <row r="2">
      <c r="B2" s="2" t="inlineStr">
        <is>
          <t>AI Chef Pro · aichef.pro — Kit Plan Financiero para Restaurantes</t>
        </is>
      </c>
    </row>
    <row r="4">
      <c r="A4" s="6" t="inlineStr"/>
      <c r="B4" s="6" t="inlineStr">
        <is>
          <t>Indicador</t>
        </is>
      </c>
      <c r="C4" s="6" t="inlineStr">
        <is>
          <t>Resultado</t>
        </is>
      </c>
    </row>
    <row r="5">
      <c r="B5" s="8" t="inlineStr">
        <is>
          <t>Total Costes Fijos / mes</t>
        </is>
      </c>
      <c r="C5" s="15">
        <f>Datos!C14</f>
        <v/>
      </c>
    </row>
    <row r="6">
      <c r="B6" s="8" t="inlineStr">
        <is>
          <t>% Coste Variable</t>
        </is>
      </c>
      <c r="C6" s="16">
        <f>Datos!C17</f>
        <v/>
      </c>
    </row>
    <row r="7">
      <c r="B7" s="8" t="inlineStr">
        <is>
          <t>Margen de Contribución</t>
        </is>
      </c>
      <c r="C7" s="16">
        <f>1-Datos!C17</f>
        <v/>
      </c>
    </row>
    <row r="8">
      <c r="B8" s="11" t="inlineStr">
        <is>
          <t>FACTURACIÓN BREAK-EVEN / mes</t>
        </is>
      </c>
      <c r="C8" s="17">
        <f>Datos!C14/(1-Datos!C17)</f>
        <v/>
      </c>
    </row>
    <row r="9">
      <c r="B9" s="8" t="inlineStr">
        <is>
          <t>Facturación Break-Even / día</t>
        </is>
      </c>
      <c r="C9" s="15">
        <f>C8/Datos!C21</f>
        <v/>
      </c>
    </row>
    <row r="10">
      <c r="B10" s="8" t="inlineStr">
        <is>
          <t>Cubiertos / día necesarios</t>
        </is>
      </c>
      <c r="C10" s="18">
        <f>C9/Datos!C20</f>
        <v/>
      </c>
    </row>
    <row r="11">
      <c r="B11" s="8" t="inlineStr">
        <is>
          <t>Cubiertos / mes necesarios</t>
        </is>
      </c>
      <c r="C11" s="18">
        <f>C10*Datos!C21</f>
        <v/>
      </c>
    </row>
    <row r="15">
      <c r="A15" s="10" t="inlineStr">
        <is>
          <t>© 2026 AI Chef Pro · aichef.pro</t>
        </is>
      </c>
    </row>
  </sheetData>
  <mergeCells count="2">
    <mergeCell ref="B1:C1"/>
    <mergeCell ref="A15:C15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FF6F00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35"/>
    <col customWidth="1" max="3" min="3" width="18"/>
    <col customWidth="1" max="4" min="4" width="18"/>
    <col customWidth="1" max="5" min="5" width="18"/>
  </cols>
  <sheetData>
    <row r="1">
      <c r="B1" s="5" t="inlineStr">
        <is>
          <t>Análisis de Escenarios</t>
        </is>
      </c>
    </row>
    <row r="3">
      <c r="A3" s="6" t="inlineStr"/>
      <c r="B3" s="6" t="inlineStr">
        <is>
          <t>Indicador</t>
        </is>
      </c>
      <c r="C3" s="6" t="inlineStr">
        <is>
          <t>Pesimista</t>
        </is>
      </c>
      <c r="D3" s="6" t="inlineStr">
        <is>
          <t>Base</t>
        </is>
      </c>
      <c r="E3" s="6" t="inlineStr">
        <is>
          <t>Optimista</t>
        </is>
      </c>
    </row>
    <row r="4">
      <c r="B4" s="8" t="inlineStr">
        <is>
          <t>Ticket medio (€)</t>
        </is>
      </c>
      <c r="C4" s="19" t="n">
        <v>18</v>
      </c>
      <c r="D4" s="20" t="n">
        <v>22</v>
      </c>
      <c r="E4" s="21" t="n">
        <v>28</v>
      </c>
    </row>
    <row r="5">
      <c r="B5" s="8" t="inlineStr">
        <is>
          <t>Cubiertos / día</t>
        </is>
      </c>
      <c r="C5" s="22" t="n">
        <v>40</v>
      </c>
      <c r="D5" s="23" t="n">
        <v>55</v>
      </c>
      <c r="E5" s="24" t="n">
        <v>75</v>
      </c>
    </row>
    <row r="6">
      <c r="B6" s="8" t="inlineStr">
        <is>
          <t>% Coste Variable</t>
        </is>
      </c>
      <c r="C6" s="25" t="n">
        <v>0.4</v>
      </c>
      <c r="D6" s="26" t="n">
        <v>0.35</v>
      </c>
      <c r="E6" s="27" t="n">
        <v>0.3</v>
      </c>
    </row>
    <row r="7">
      <c r="B7" s="8" t="inlineStr">
        <is>
          <t>Costes Fijos / mes (€)</t>
        </is>
      </c>
      <c r="C7" s="19" t="n">
        <v>19000</v>
      </c>
      <c r="D7" s="20" t="n">
        <v>19000</v>
      </c>
      <c r="E7" s="21" t="n">
        <v>19000</v>
      </c>
    </row>
    <row r="9">
      <c r="B9" s="7" t="inlineStr">
        <is>
          <t>RESULTADOS</t>
        </is>
      </c>
    </row>
    <row r="10">
      <c r="B10" s="8" t="inlineStr">
        <is>
          <t>Facturación mensual</t>
        </is>
      </c>
      <c r="C10" s="17">
        <f>C4*C5*26</f>
        <v/>
      </c>
      <c r="D10" s="17">
        <f>D4*D5*26</f>
        <v/>
      </c>
      <c r="E10" s="17">
        <f>E4*E5*26</f>
        <v/>
      </c>
    </row>
    <row r="11">
      <c r="B11" s="8" t="inlineStr">
        <is>
          <t>Costes Variables</t>
        </is>
      </c>
      <c r="C11" s="17">
        <f>C10*C6</f>
        <v/>
      </c>
      <c r="D11" s="17">
        <f>D10*D6</f>
        <v/>
      </c>
      <c r="E11" s="17">
        <f>E10*E6</f>
        <v/>
      </c>
    </row>
    <row r="12">
      <c r="B12" s="8" t="inlineStr">
        <is>
          <t>Margen Contribución</t>
        </is>
      </c>
      <c r="C12" s="17">
        <f>C10-C11</f>
        <v/>
      </c>
      <c r="D12" s="17">
        <f>D10-D11</f>
        <v/>
      </c>
      <c r="E12" s="17">
        <f>E10-E11</f>
        <v/>
      </c>
    </row>
    <row r="13">
      <c r="B13" s="11" t="inlineStr">
        <is>
          <t>EBITDA</t>
        </is>
      </c>
      <c r="C13" s="12">
        <f>C12-C7</f>
        <v/>
      </c>
      <c r="D13" s="12">
        <f>D12-D7</f>
        <v/>
      </c>
      <c r="E13" s="12">
        <f>E12-E7</f>
        <v/>
      </c>
    </row>
    <row r="16">
      <c r="A16" s="10" t="inlineStr">
        <is>
          <t>© 2026 AI Chef Pro · aichef.pro</t>
        </is>
      </c>
    </row>
  </sheetData>
  <mergeCells count="2">
    <mergeCell ref="A16:E16"/>
    <mergeCell ref="B1:E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2026-04-05T10:13:00Z</dcterms:created>
  <dcterms:modified xsi:type="dcterms:W3CDTF">2026-04-05T10:13:00Z</dcterms:modified>
</cp:coreProperties>
</file>