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Ratios" sheetId="2" state="visible" r:id="rId2"/>
    <sheet name="Benchmar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#,##0.00 €" numFmtId="164"/>
    <numFmt formatCode="0.0%" numFmtId="165"/>
  </numFmts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i val="1"/>
      <color rgb="00888888"/>
      <sz val="11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color rgb="00999999"/>
      <sz val="9"/>
    </font>
    <font>
      <name val="Calibri"/>
      <b val="1"/>
      <sz val="11"/>
    </font>
    <font>
      <name val="Calibri"/>
      <b val="1"/>
      <color rgb="001565C0"/>
      <sz val="11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20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borderId="0" fillId="0" fontId="6" numFmtId="0" pivotButton="0" quotePrefix="0" xfId="0"/>
    <xf applyAlignment="1" borderId="1" fillId="2" fontId="7" numFmtId="0" pivotButton="0" quotePrefix="0" xfId="0">
      <alignment horizontal="center" vertical="center" wrapText="1"/>
    </xf>
    <xf borderId="1" fillId="0" fontId="8" numFmtId="0" pivotButton="0" quotePrefix="0" xfId="0"/>
    <xf applyAlignment="1" borderId="1" fillId="3" fontId="8" numFmtId="164" pivotButton="0" quotePrefix="0" xfId="0">
      <alignment horizontal="right" vertical="center"/>
    </xf>
    <xf borderId="0" fillId="0" fontId="9" numFmtId="0" pivotButton="0" quotePrefix="0" xfId="0"/>
    <xf applyAlignment="1" borderId="1" fillId="3" fontId="8" numFmtId="3" pivotButton="0" quotePrefix="0" xfId="0">
      <alignment horizontal="right" vertical="center"/>
    </xf>
    <xf borderId="1" fillId="0" fontId="10" numFmtId="0" pivotButton="0" quotePrefix="0" xfId="0"/>
    <xf applyAlignment="1" borderId="1" fillId="0" fontId="11" numFmtId="165" pivotButton="0" quotePrefix="0" xfId="0">
      <alignment horizontal="right" vertical="center"/>
    </xf>
    <xf applyAlignment="1" borderId="1" fillId="0" fontId="8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center" vertical="center" wrapText="1"/>
    </xf>
    <xf applyAlignment="1" borderId="1" fillId="0" fontId="11" numFmtId="164" pivotButton="0" quotePrefix="0" xfId="0">
      <alignment horizontal="right" vertical="center"/>
    </xf>
    <xf applyAlignment="1" borderId="1" fillId="4" fontId="8" numFmtId="0" pivotButton="0" quotePrefix="0" xfId="0">
      <alignment horizontal="center" vertical="center" wrapText="1"/>
    </xf>
    <xf applyAlignment="1" borderId="1" fillId="5" fontId="8" numFmtId="0" pivotButton="0" quotePrefix="0" xfId="0">
      <alignment horizontal="center" vertical="center" wrapText="1"/>
    </xf>
    <xf applyAlignment="1" borderId="1" fillId="6" fontId="8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5"/>
  </cols>
  <sheetData>
    <row r="2">
      <c r="B2" s="1" t="inlineStr">
        <is>
          <t>06 · Dashboard de Ratios Financieros</t>
        </is>
      </c>
    </row>
    <row r="4">
      <c r="B4" s="2" t="inlineStr">
        <is>
          <t>AI Chef Pro · aichef.pro — Kit Plan Financiero para Restaurantes</t>
        </is>
      </c>
    </row>
    <row r="6">
      <c r="B6" s="3" t="inlineStr">
        <is>
          <t>Cómo usar esta plantilla:</t>
        </is>
      </c>
    </row>
    <row r="7">
      <c r="B7" s="4" t="inlineStr">
        <is>
          <t>▸ Introduce tus datos reales en la columna 'Tu Restaurante'.</t>
        </is>
      </c>
    </row>
    <row r="8">
      <c r="B8" s="4" t="inlineStr">
        <is>
          <t>▸ Los benchmarks del sector aparecen para comparar tu rendimiento.</t>
        </is>
      </c>
    </row>
    <row r="9">
      <c r="B9" s="4" t="inlineStr">
        <is>
          <t>▸ El semáforo indica si estás dentro de rango óptimo (verde), aceptable (amarillo) o peligro (rojo).</t>
        </is>
      </c>
    </row>
    <row r="10">
      <c r="B10" t="inlineStr"/>
    </row>
    <row r="11">
      <c r="B11" s="3" t="inlineStr">
        <is>
          <t>Ratios clave hostelería:</t>
        </is>
      </c>
    </row>
    <row r="12">
      <c r="B12" s="4" t="inlineStr">
        <is>
          <t>▸ Food Cost ideal: 28-32% sobre ventas.</t>
        </is>
      </c>
    </row>
    <row r="13">
      <c r="B13" s="4" t="inlineStr">
        <is>
          <t>▸ Labor Cost ideal: 25-30% sobre ventas.</t>
        </is>
      </c>
    </row>
    <row r="14">
      <c r="B14" s="4" t="inlineStr">
        <is>
          <t>▸ Prime Cost (Food + Labor): máximo 60-65%.</t>
        </is>
      </c>
    </row>
    <row r="15">
      <c r="B15" s="4" t="inlineStr">
        <is>
          <t>▸ GOP (Gross Operating Profit): objetivo &gt;15%.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35"/>
    <col customWidth="1" max="3" min="3" width="18"/>
    <col customWidth="1" max="4" min="4" width="20"/>
    <col customWidth="1" max="5" min="5" width="18"/>
  </cols>
  <sheetData>
    <row r="1">
      <c r="B1" s="5" t="inlineStr">
        <is>
          <t>Dashboard de Ratios Financieros</t>
        </is>
      </c>
    </row>
    <row r="2">
      <c r="B2" s="2" t="inlineStr">
        <is>
          <t>AI Chef Pro · aichef.pro — Kit Plan Financiero para Restaurantes</t>
        </is>
      </c>
    </row>
    <row r="4">
      <c r="B4" s="6" t="inlineStr">
        <is>
          <t>DATOS DE ENTRADA</t>
        </is>
      </c>
    </row>
    <row r="5">
      <c r="A5" s="7" t="inlineStr"/>
      <c r="B5" s="7" t="inlineStr">
        <is>
          <t>Concepto</t>
        </is>
      </c>
      <c r="C5" s="7" t="inlineStr">
        <is>
          <t>Valor</t>
        </is>
      </c>
      <c r="D5" s="7" t="inlineStr">
        <is>
          <t>Período</t>
        </is>
      </c>
      <c r="E5" s="7" t="inlineStr"/>
    </row>
    <row r="6">
      <c r="B6" s="8" t="inlineStr">
        <is>
          <t>Ventas totales (€)</t>
        </is>
      </c>
      <c r="C6" s="9" t="n">
        <v>85000</v>
      </c>
      <c r="D6" s="10" t="inlineStr">
        <is>
          <t>Mensual</t>
        </is>
      </c>
    </row>
    <row r="7">
      <c r="B7" s="8" t="inlineStr">
        <is>
          <t>Coste materia prima (€)</t>
        </is>
      </c>
      <c r="C7" s="9" t="n">
        <v>25500</v>
      </c>
      <c r="D7" s="10" t="inlineStr">
        <is>
          <t>Mensual</t>
        </is>
      </c>
    </row>
    <row r="8">
      <c r="B8" s="8" t="inlineStr">
        <is>
          <t>Coste personal total (€)</t>
        </is>
      </c>
      <c r="C8" s="9" t="n">
        <v>23800</v>
      </c>
      <c r="D8" s="10" t="inlineStr">
        <is>
          <t>Mensual</t>
        </is>
      </c>
    </row>
    <row r="9">
      <c r="B9" s="8" t="inlineStr">
        <is>
          <t>Gastos operativos totales (€)</t>
        </is>
      </c>
      <c r="C9" s="9" t="n">
        <v>72250</v>
      </c>
      <c r="D9" s="10" t="inlineStr">
        <is>
          <t>Mensual</t>
        </is>
      </c>
    </row>
    <row r="10">
      <c r="B10" s="8" t="inlineStr">
        <is>
          <t>Nº de cubiertos servidos</t>
        </is>
      </c>
      <c r="C10" s="11" t="n">
        <v>3200</v>
      </c>
      <c r="D10" s="10" t="inlineStr">
        <is>
          <t>Mensual</t>
        </is>
      </c>
    </row>
    <row r="11">
      <c r="B11" s="8" t="inlineStr">
        <is>
          <t>m² de sala</t>
        </is>
      </c>
      <c r="C11" s="11" t="n">
        <v>80</v>
      </c>
      <c r="D11" s="10" t="inlineStr"/>
    </row>
    <row r="12">
      <c r="B12" s="8" t="inlineStr">
        <is>
          <t>Horas de servicio / mes</t>
        </is>
      </c>
      <c r="C12" s="11" t="n">
        <v>360</v>
      </c>
      <c r="D12" s="10" t="inlineStr"/>
    </row>
    <row r="15">
      <c r="B15" s="6" t="inlineStr">
        <is>
          <t>RATIOS CALCULADOS</t>
        </is>
      </c>
    </row>
    <row r="16">
      <c r="A16" s="7" t="inlineStr"/>
      <c r="B16" s="7" t="inlineStr">
        <is>
          <t>Ratio</t>
        </is>
      </c>
      <c r="C16" s="7" t="inlineStr">
        <is>
          <t>Tu Valor</t>
        </is>
      </c>
      <c r="D16" s="7" t="inlineStr">
        <is>
          <t>Benchmark Sector</t>
        </is>
      </c>
      <c r="E16" s="7" t="inlineStr">
        <is>
          <t>Estado</t>
        </is>
      </c>
    </row>
    <row r="17">
      <c r="B17" s="12" t="inlineStr">
        <is>
          <t>Food Cost %</t>
        </is>
      </c>
      <c r="C17" s="13">
        <f>C7/C6</f>
        <v/>
      </c>
      <c r="D17" s="14" t="inlineStr">
        <is>
          <t>28% - 32%</t>
        </is>
      </c>
      <c r="E17" s="15">
        <f>IF(C17&lt;0.28,"✅ Excelente",IF(C17&lt;0.33,"⚠️ Aceptable","🔴 Alto"))</f>
        <v/>
      </c>
    </row>
    <row r="18">
      <c r="B18" s="12" t="inlineStr">
        <is>
          <t>Labor Cost %</t>
        </is>
      </c>
      <c r="C18" s="13">
        <f>C8/C6</f>
        <v/>
      </c>
      <c r="D18" s="14" t="inlineStr">
        <is>
          <t>25% - 30%</t>
        </is>
      </c>
      <c r="E18" s="15">
        <f>IF(C18&lt;0.25,"✅ Excelente",IF(C18&lt;0.31,"⚠️ Aceptable","🔴 Alto"))</f>
        <v/>
      </c>
    </row>
    <row r="19">
      <c r="B19" s="12" t="inlineStr">
        <is>
          <t>Prime Cost % (Food + Labor)</t>
        </is>
      </c>
      <c r="C19" s="13">
        <f>(C7+C8)/C6</f>
        <v/>
      </c>
      <c r="D19" s="14" t="inlineStr">
        <is>
          <t>&lt; 65%</t>
        </is>
      </c>
      <c r="E19" s="15">
        <f>IF(C19&lt;0.6,"✅ Excelente",IF(C19&lt;0.66,"⚠️ Aceptable","🔴 Alto"))</f>
        <v/>
      </c>
    </row>
    <row r="20">
      <c r="B20" s="12" t="inlineStr">
        <is>
          <t>GOP (Gross Operating Profit) %</t>
        </is>
      </c>
      <c r="C20" s="13">
        <f>(C6-C9)/C6</f>
        <v/>
      </c>
      <c r="D20" s="14" t="inlineStr">
        <is>
          <t>&gt; 15%</t>
        </is>
      </c>
      <c r="E20" s="15">
        <f>IF(C20&gt;0.15,"✅ Sano",IF(C20&gt;0.1,"⚠️ Ajustado","🔴 Peligro"))</f>
        <v/>
      </c>
    </row>
    <row r="21">
      <c r="B21" s="12" t="inlineStr">
        <is>
          <t>Coste por cubierto (€)</t>
        </is>
      </c>
      <c r="C21" s="16">
        <f>C9/C10</f>
        <v/>
      </c>
      <c r="D21" s="14" t="inlineStr">
        <is>
          <t>Varía por concepto</t>
        </is>
      </c>
      <c r="E21" s="15" t="n"/>
    </row>
    <row r="22">
      <c r="B22" s="12" t="inlineStr">
        <is>
          <t>RevPASH (€/m²/hora)</t>
        </is>
      </c>
      <c r="C22" s="16">
        <f>C6/(C11*C12)</f>
        <v/>
      </c>
      <c r="D22" s="14" t="inlineStr">
        <is>
          <t>&gt; 8€ casual dining</t>
        </is>
      </c>
      <c r="E22" s="15" t="n"/>
    </row>
    <row r="23">
      <c r="B23" s="12" t="inlineStr">
        <is>
          <t>Ticket medio (€)</t>
        </is>
      </c>
      <c r="C23" s="16">
        <f>C6/C10</f>
        <v/>
      </c>
      <c r="D23" s="14" t="inlineStr">
        <is>
          <t>Varía por concepto</t>
        </is>
      </c>
      <c r="E23" s="15" t="n"/>
    </row>
    <row r="24">
      <c r="B24" s="12" t="inlineStr">
        <is>
          <t>Margen bruto %</t>
        </is>
      </c>
      <c r="C24" s="13">
        <f>(C6-C7)/C6</f>
        <v/>
      </c>
      <c r="D24" s="14" t="inlineStr">
        <is>
          <t>&gt; 65%</t>
        </is>
      </c>
      <c r="E24" s="15" t="n"/>
    </row>
    <row r="27">
      <c r="A27" s="10" t="inlineStr">
        <is>
          <t>© 2026 AI Chef Pro · aichef.pro</t>
        </is>
      </c>
    </row>
  </sheetData>
  <mergeCells count="3">
    <mergeCell ref="B2:E2"/>
    <mergeCell ref="A27:E27"/>
    <mergeCell ref="B1:E1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35"/>
    <col customWidth="1" max="3" min="3" width="18"/>
    <col customWidth="1" max="4" min="4" width="18"/>
    <col customWidth="1" max="5" min="5" width="18"/>
  </cols>
  <sheetData>
    <row r="1">
      <c r="B1" s="5" t="inlineStr">
        <is>
          <t>Benchmarks del Sector Hostelería</t>
        </is>
      </c>
    </row>
    <row r="3">
      <c r="A3" s="7" t="inlineStr"/>
      <c r="B3" s="7" t="inlineStr">
        <is>
          <t>Ratio</t>
        </is>
      </c>
      <c r="C3" s="7" t="inlineStr">
        <is>
          <t>Óptimo</t>
        </is>
      </c>
      <c r="D3" s="7" t="inlineStr">
        <is>
          <t>Aceptable</t>
        </is>
      </c>
      <c r="E3" s="7" t="inlineStr">
        <is>
          <t>Peligro</t>
        </is>
      </c>
    </row>
    <row r="4">
      <c r="B4" s="8" t="inlineStr">
        <is>
          <t>Food Cost %</t>
        </is>
      </c>
      <c r="C4" s="17" t="inlineStr">
        <is>
          <t>&lt; 28%</t>
        </is>
      </c>
      <c r="D4" s="18" t="inlineStr">
        <is>
          <t>28% - 33%</t>
        </is>
      </c>
      <c r="E4" s="19" t="inlineStr">
        <is>
          <t>&gt; 33%</t>
        </is>
      </c>
    </row>
    <row r="5">
      <c r="B5" s="8" t="inlineStr">
        <is>
          <t>Labor Cost %</t>
        </is>
      </c>
      <c r="C5" s="17" t="inlineStr">
        <is>
          <t>&lt; 25%</t>
        </is>
      </c>
      <c r="D5" s="18" t="inlineStr">
        <is>
          <t>25% - 30%</t>
        </is>
      </c>
      <c r="E5" s="19" t="inlineStr">
        <is>
          <t>&gt; 30%</t>
        </is>
      </c>
    </row>
    <row r="6">
      <c r="B6" s="8" t="inlineStr">
        <is>
          <t>Prime Cost %</t>
        </is>
      </c>
      <c r="C6" s="17" t="inlineStr">
        <is>
          <t>&lt; 60%</t>
        </is>
      </c>
      <c r="D6" s="18" t="inlineStr">
        <is>
          <t>60% - 65%</t>
        </is>
      </c>
      <c r="E6" s="19" t="inlineStr">
        <is>
          <t>&gt; 65%</t>
        </is>
      </c>
    </row>
    <row r="7">
      <c r="B7" s="8" t="inlineStr">
        <is>
          <t>GOP %</t>
        </is>
      </c>
      <c r="C7" s="17" t="inlineStr">
        <is>
          <t>&gt; 20%</t>
        </is>
      </c>
      <c r="D7" s="18" t="inlineStr">
        <is>
          <t>15% - 20%</t>
        </is>
      </c>
      <c r="E7" s="19" t="inlineStr">
        <is>
          <t>&lt; 15%</t>
        </is>
      </c>
    </row>
    <row r="8">
      <c r="B8" s="8" t="inlineStr">
        <is>
          <t>Alquiler / Ventas</t>
        </is>
      </c>
      <c r="C8" s="17" t="inlineStr">
        <is>
          <t>&lt; 8%</t>
        </is>
      </c>
      <c r="D8" s="18" t="inlineStr">
        <is>
          <t>8% - 12%</t>
        </is>
      </c>
      <c r="E8" s="19" t="inlineStr">
        <is>
          <t>&gt; 12%</t>
        </is>
      </c>
    </row>
    <row r="9">
      <c r="B9" s="8" t="inlineStr">
        <is>
          <t>Marketing / Ventas</t>
        </is>
      </c>
      <c r="C9" s="17" t="inlineStr">
        <is>
          <t>3% - 5%</t>
        </is>
      </c>
      <c r="D9" s="18" t="inlineStr">
        <is>
          <t>5% - 8%</t>
        </is>
      </c>
      <c r="E9" s="19" t="inlineStr">
        <is>
          <t>&gt; 8%</t>
        </is>
      </c>
    </row>
    <row r="10">
      <c r="B10" s="8" t="inlineStr">
        <is>
          <t>EBITDA %</t>
        </is>
      </c>
      <c r="C10" s="17" t="inlineStr">
        <is>
          <t>&gt; 15%</t>
        </is>
      </c>
      <c r="D10" s="18" t="inlineStr">
        <is>
          <t>10% - 15%</t>
        </is>
      </c>
      <c r="E10" s="19" t="inlineStr">
        <is>
          <t>&lt; 10%</t>
        </is>
      </c>
    </row>
    <row r="11">
      <c r="B11" s="8" t="inlineStr">
        <is>
          <t>Coste cubierto / Ticket</t>
        </is>
      </c>
      <c r="C11" s="17" t="inlineStr">
        <is>
          <t>&lt; 60%</t>
        </is>
      </c>
      <c r="D11" s="18" t="inlineStr">
        <is>
          <t>60% - 70%</t>
        </is>
      </c>
      <c r="E11" s="19" t="inlineStr">
        <is>
          <t>&gt; 70%</t>
        </is>
      </c>
    </row>
    <row r="14">
      <c r="A14" s="10" t="inlineStr">
        <is>
          <t>© 2026 AI Chef Pro · aichef.pro</t>
        </is>
      </c>
    </row>
  </sheetData>
  <mergeCells count="2">
    <mergeCell ref="B1:E1"/>
    <mergeCell ref="A14:E14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2026-04-05T10:13:01Z</dcterms:created>
  <dcterms:modified xsi:type="dcterms:W3CDTF">2026-04-05T10:13:01Z</dcterms:modified>
</cp:coreProperties>
</file>