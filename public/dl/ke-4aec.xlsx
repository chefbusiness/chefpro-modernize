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culadora PV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1A1A1A"/>
      <sz val="13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FF8DC"/>
        <bgColor rgb="00FFF8D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64" fontId="9" fillId="2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5" fillId="6" borderId="1" pivotButton="0" quotePrefix="0" xfId="0"/>
    <xf numFmtId="9" fontId="5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Calculadora de PVP por Tipo de Establecimiento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Introduce el coste total de tu plato en la celda verde</t>
        </is>
      </c>
    </row>
    <row r="9">
      <c r="B9" s="6" t="inlineStr">
        <is>
          <t>▸ La tabla calcula automáticamente el PVP para cada tipo de establecimiento</t>
        </is>
      </c>
    </row>
    <row r="10">
      <c r="B10" s="6" t="inlineStr">
        <is>
          <t>▸ Cada tipo tiene su food cost objetivo y multiplicador</t>
        </is>
      </c>
    </row>
    <row r="11">
      <c r="B11" s="6" t="inlineStr">
        <is>
          <t>▸ Los PVP incluyen versión sin IVA y con IVA (10%)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2">
      <c r="B2" s="9" t="inlineStr">
        <is>
          <t>Calculadora de PVP Sugerido</t>
        </is>
      </c>
    </row>
    <row r="4">
      <c r="B4" s="10" t="inlineStr">
        <is>
          <t>COSTE TOTAL DEL PLATO (€):</t>
        </is>
      </c>
      <c r="C4" s="11" t="n">
        <v>5.5</v>
      </c>
    </row>
    <row r="6">
      <c r="B6" s="12" t="inlineStr">
        <is>
          <t>Tipo Establecimiento</t>
        </is>
      </c>
      <c r="C6" s="12" t="inlineStr">
        <is>
          <t>Food Cost Min</t>
        </is>
      </c>
      <c r="D6" s="12" t="inlineStr">
        <is>
          <t>Food Cost Max</t>
        </is>
      </c>
      <c r="E6" s="12" t="inlineStr">
        <is>
          <t>PVP sin IVA (€)</t>
        </is>
      </c>
      <c r="F6" s="12" t="inlineStr">
        <is>
          <t>PVP con IVA (€)</t>
        </is>
      </c>
      <c r="G6" s="12" t="inlineStr">
        <is>
          <t>Margen (€)</t>
        </is>
      </c>
    </row>
    <row r="7">
      <c r="B7" s="13" t="inlineStr">
        <is>
          <t>Fine Dining</t>
        </is>
      </c>
      <c r="C7" s="14" t="n">
        <v>0.25</v>
      </c>
      <c r="D7" s="14" t="n">
        <v>0.28</v>
      </c>
      <c r="E7" s="15">
        <f>$C$4/=AVERAGE(C7,D7)</f>
        <v/>
      </c>
      <c r="F7" s="16">
        <f>E7*1.10</f>
        <v/>
      </c>
      <c r="G7" s="15">
        <f>E7-$C$4</f>
        <v/>
      </c>
    </row>
    <row r="8">
      <c r="B8" s="17" t="inlineStr">
        <is>
          <t>Casual Dining</t>
        </is>
      </c>
      <c r="C8" s="18" t="n">
        <v>0.28</v>
      </c>
      <c r="D8" s="18" t="n">
        <v>0.32</v>
      </c>
      <c r="E8" s="19">
        <f>$C$4/=AVERAGE(C8,D8)</f>
        <v/>
      </c>
      <c r="F8" s="19">
        <f>E8*1.10</f>
        <v/>
      </c>
      <c r="G8" s="19">
        <f>E8-$C$4</f>
        <v/>
      </c>
    </row>
    <row r="9">
      <c r="B9" s="13" t="inlineStr">
        <is>
          <t>Fast Casual</t>
        </is>
      </c>
      <c r="C9" s="14" t="n">
        <v>0.3</v>
      </c>
      <c r="D9" s="14" t="n">
        <v>0.35</v>
      </c>
      <c r="E9" s="15">
        <f>$C$4/=AVERAGE(C9,D9)</f>
        <v/>
      </c>
      <c r="F9" s="15">
        <f>E9*1.10</f>
        <v/>
      </c>
      <c r="G9" s="15">
        <f>E9-$C$4</f>
        <v/>
      </c>
    </row>
    <row r="10">
      <c r="B10" s="17" t="inlineStr">
        <is>
          <t>Cafetería</t>
        </is>
      </c>
      <c r="C10" s="18" t="n">
        <v>0.25</v>
      </c>
      <c r="D10" s="18" t="n">
        <v>0.3</v>
      </c>
      <c r="E10" s="19">
        <f>$C$4/=AVERAGE(C10,D10)</f>
        <v/>
      </c>
      <c r="F10" s="19">
        <f>E10*1.10</f>
        <v/>
      </c>
      <c r="G10" s="19">
        <f>E10-$C$4</f>
        <v/>
      </c>
    </row>
    <row r="11">
      <c r="B11" s="13" t="inlineStr">
        <is>
          <t>Catering</t>
        </is>
      </c>
      <c r="C11" s="14" t="n">
        <v>0.3</v>
      </c>
      <c r="D11" s="14" t="n">
        <v>0.4</v>
      </c>
      <c r="E11" s="15">
        <f>$C$4/=AVERAGE(C11,D11)</f>
        <v/>
      </c>
      <c r="F11" s="15">
        <f>E11*1.10</f>
        <v/>
      </c>
      <c r="G11" s="15">
        <f>E11-$C$4</f>
        <v/>
      </c>
    </row>
    <row r="12">
      <c r="B12" s="17" t="inlineStr">
        <is>
          <t>Food Truck</t>
        </is>
      </c>
      <c r="C12" s="18" t="n">
        <v>0.28</v>
      </c>
      <c r="D12" s="18" t="n">
        <v>0.35</v>
      </c>
      <c r="E12" s="19">
        <f>$C$4/=AVERAGE(C12,D12)</f>
        <v/>
      </c>
      <c r="F12" s="19">
        <f>E12*1.10</f>
        <v/>
      </c>
      <c r="G12" s="19">
        <f>E12-$C$4</f>
        <v/>
      </c>
    </row>
    <row r="13">
      <c r="B13" s="13" t="inlineStr">
        <is>
          <t>Hotel F&amp;B</t>
        </is>
      </c>
      <c r="C13" s="14" t="n">
        <v>0.3</v>
      </c>
      <c r="D13" s="14" t="n">
        <v>0.35</v>
      </c>
      <c r="E13" s="15">
        <f>$C$4/=AVERAGE(C13,D13)</f>
        <v/>
      </c>
      <c r="F13" s="15">
        <f>E13*1.10</f>
        <v/>
      </c>
      <c r="G13" s="15">
        <f>E13-$C$4</f>
        <v/>
      </c>
    </row>
    <row r="14">
      <c r="B14" s="17" t="inlineStr">
        <is>
          <t>Pastelería</t>
        </is>
      </c>
      <c r="C14" s="18" t="n">
        <v>0.2</v>
      </c>
      <c r="D14" s="18" t="n">
        <v>0.3</v>
      </c>
      <c r="E14" s="19">
        <f>$C$4/=AVERAGE(C14,D14)</f>
        <v/>
      </c>
      <c r="F14" s="19">
        <f>E14*1.10</f>
        <v/>
      </c>
      <c r="G14" s="19">
        <f>E14-$C$4</f>
        <v/>
      </c>
    </row>
    <row r="15">
      <c r="B15" s="13" t="inlineStr">
        <is>
          <t>Bar/Cocktails</t>
        </is>
      </c>
      <c r="C15" s="14" t="n">
        <v>0.18</v>
      </c>
      <c r="D15" s="14" t="n">
        <v>0.25</v>
      </c>
      <c r="E15" s="15">
        <f>$C$4/=AVERAGE(C15,D15)</f>
        <v/>
      </c>
      <c r="F15" s="15">
        <f>E15*1.10</f>
        <v/>
      </c>
      <c r="G15" s="15">
        <f>E15-$C$4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2026-03-16T17:45:45Z</dcterms:created>
  <dcterms:modified xmlns:dcterms="http://purl.org/dc/terms/" xmlns:xsi="http://www.w3.org/2001/XMLSchema-instance" xsi:type="dcterms:W3CDTF">2026-03-16T17:45:45Z</dcterms:modified>
</cp:coreProperties>
</file>