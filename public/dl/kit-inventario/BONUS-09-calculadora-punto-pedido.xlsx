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Calculadora" sheetId="2" state="visible" r:id="rId2"/>
    <sheet name="Pará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D700"/>
      <sz val="16"/>
    </font>
    <font>
      <color rgb="00888888"/>
      <sz val="10"/>
    </font>
    <font>
      <sz val="10"/>
    </font>
    <font>
      <b val="1"/>
      <color rgb="00FFD700"/>
      <sz val="14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0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applyAlignment="1" borderId="0" fillId="0" fontId="3" numFmtId="0" pivotButton="0" quotePrefix="0" xfId="0">
      <alignment wrapText="1"/>
    </xf>
    <xf borderId="0" fillId="0" fontId="4" numFmtId="0" pivotButton="0" quotePrefix="0" xfId="0"/>
    <xf applyAlignment="1" borderId="1" fillId="2" fontId="5" numFmtId="0" pivotButton="0" quotePrefix="0" xfId="0">
      <alignment horizontal="center" vertical="center" wrapText="1"/>
    </xf>
    <xf applyAlignment="1" borderId="1" fillId="0" fontId="3" numFmtId="0" pivotButton="0" quotePrefix="0" xfId="0">
      <alignment vertical="center" wrapText="1"/>
    </xf>
    <xf applyAlignment="1" borderId="1" fillId="3" fontId="3" numFmtId="0" pivotButton="0" quotePrefix="0" xfId="0">
      <alignment vertical="center" wrapText="1"/>
    </xf>
    <xf borderId="0" fillId="0" fontId="6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customWidth="1" max="1" min="1" width="80"/>
  </cols>
  <sheetData>
    <row r="1">
      <c r="A1" s="1" t="inlineStr">
        <is>
          <t>BONUS: Calculadora Punto de Pedido</t>
        </is>
      </c>
    </row>
    <row r="2">
      <c r="A2" s="2" t="inlineStr">
        <is>
          <t>AI Chef Pro — aichef.pro</t>
        </is>
      </c>
    </row>
    <row r="3">
      <c r="A3" s="3" t="inlineStr"/>
    </row>
    <row r="4">
      <c r="A4" s="4" t="inlineStr">
        <is>
          <t>Calcula el punto óptimo de reposición para cada producto.</t>
        </is>
      </c>
    </row>
    <row r="5">
      <c r="A5" s="4" t="inlineStr"/>
    </row>
    <row r="6">
      <c r="A6" s="4" t="inlineStr">
        <is>
          <t>FÓRMULA:</t>
        </is>
      </c>
    </row>
    <row r="7">
      <c r="A7" s="4" t="inlineStr">
        <is>
          <t>Punto de Pedido = (Consumo Diario × Lead Time) + Stock Seguridad</t>
        </is>
      </c>
    </row>
    <row r="8">
      <c r="A8" s="4" t="inlineStr"/>
    </row>
    <row r="9">
      <c r="A9" s="4" t="inlineStr">
        <is>
          <t>1. Introduce consumo diario, tiempo de entrega del proveedor y stock de seguridad.</t>
        </is>
      </c>
    </row>
    <row r="10">
      <c r="A10" s="4" t="inlineStr">
        <is>
          <t>2. La calculadora te dice exactamente cuándo pedir.</t>
        </is>
      </c>
    </row>
    <row r="11">
      <c r="A11" s="4" t="inlineStr">
        <is>
          <t>3. El simulador te permite probar diferentes escenarios de demanda.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25"/>
    <col customWidth="1" max="3" min="3" width="14"/>
    <col customWidth="1" max="4" min="4" width="16"/>
    <col customWidth="1" max="5" min="5" width="14"/>
    <col customWidth="1" max="6" min="6" width="14"/>
    <col customWidth="1" max="7" min="7" width="14"/>
    <col customWidth="1" max="8" min="8" width="18"/>
    <col customWidth="1" max="9" min="9" width="18"/>
  </cols>
  <sheetData>
    <row r="1">
      <c r="A1" s="5" t="inlineStr">
        <is>
          <t>CALCULADORA — PUNTO DE PEDIDO ÓPTIMO</t>
        </is>
      </c>
    </row>
    <row r="3">
      <c r="A3" s="6" t="inlineStr">
        <is>
          <t>#</t>
        </is>
      </c>
      <c r="B3" s="6" t="inlineStr">
        <is>
          <t>Producto</t>
        </is>
      </c>
      <c r="C3" s="6" t="inlineStr">
        <is>
          <t>Consumo Diario</t>
        </is>
      </c>
      <c r="D3" s="6" t="inlineStr">
        <is>
          <t>Lead Time (días)</t>
        </is>
      </c>
      <c r="E3" s="6" t="inlineStr">
        <is>
          <t>Stock Seguridad</t>
        </is>
      </c>
      <c r="F3" s="6" t="inlineStr">
        <is>
          <t>Punto de Pedido</t>
        </is>
      </c>
      <c r="G3" s="6" t="inlineStr">
        <is>
          <t>EOQ Sugerida</t>
        </is>
      </c>
      <c r="H3" s="6" t="inlineStr">
        <is>
          <t>Frecuencia Pedido (días)</t>
        </is>
      </c>
      <c r="I3" s="6" t="inlineStr">
        <is>
          <t>Proveedor</t>
        </is>
      </c>
    </row>
    <row r="4">
      <c r="A4" s="7" t="n">
        <v>1</v>
      </c>
      <c r="B4" s="7" t="n"/>
      <c r="C4" s="7" t="n"/>
      <c r="D4" s="7" t="n"/>
      <c r="E4" s="7" t="n"/>
      <c r="F4" s="7">
        <f>IF(C4="","",(C4*D4)+E4)</f>
        <v/>
      </c>
      <c r="G4" s="7">
        <f>IF(C4="","",ROUND(SQRT(2*C4*365*2/0.5),0))</f>
        <v/>
      </c>
      <c r="H4" s="7">
        <f>IF(C4="","",ROUND(G4/C4,0))</f>
        <v/>
      </c>
      <c r="I4" s="7" t="n"/>
    </row>
    <row r="5">
      <c r="A5" s="8" t="n">
        <v>2</v>
      </c>
      <c r="B5" s="8" t="n"/>
      <c r="C5" s="8" t="n"/>
      <c r="D5" s="8" t="n"/>
      <c r="E5" s="8" t="n"/>
      <c r="F5" s="8">
        <f>IF(C5="","",(C5*D5)+E5)</f>
        <v/>
      </c>
      <c r="G5" s="8">
        <f>IF(C5="","",ROUND(SQRT(2*C5*365*2/0.5),0))</f>
        <v/>
      </c>
      <c r="H5" s="8">
        <f>IF(C5="","",ROUND(G5/C5,0))</f>
        <v/>
      </c>
      <c r="I5" s="8" t="n"/>
    </row>
    <row r="6">
      <c r="A6" s="7" t="n">
        <v>3</v>
      </c>
      <c r="B6" s="7" t="n"/>
      <c r="C6" s="7" t="n"/>
      <c r="D6" s="7" t="n"/>
      <c r="E6" s="7" t="n"/>
      <c r="F6" s="7">
        <f>IF(C6="","",(C6*D6)+E6)</f>
        <v/>
      </c>
      <c r="G6" s="7">
        <f>IF(C6="","",ROUND(SQRT(2*C6*365*2/0.5),0))</f>
        <v/>
      </c>
      <c r="H6" s="7">
        <f>IF(C6="","",ROUND(G6/C6,0))</f>
        <v/>
      </c>
      <c r="I6" s="7" t="n"/>
    </row>
    <row r="7">
      <c r="A7" s="8" t="n">
        <v>4</v>
      </c>
      <c r="B7" s="8" t="n"/>
      <c r="C7" s="8" t="n"/>
      <c r="D7" s="8" t="n"/>
      <c r="E7" s="8" t="n"/>
      <c r="F7" s="8">
        <f>IF(C7="","",(C7*D7)+E7)</f>
        <v/>
      </c>
      <c r="G7" s="8">
        <f>IF(C7="","",ROUND(SQRT(2*C7*365*2/0.5),0))</f>
        <v/>
      </c>
      <c r="H7" s="8">
        <f>IF(C7="","",ROUND(G7/C7,0))</f>
        <v/>
      </c>
      <c r="I7" s="8" t="n"/>
    </row>
    <row r="8">
      <c r="A8" s="7" t="n">
        <v>5</v>
      </c>
      <c r="B8" s="7" t="n"/>
      <c r="C8" s="7" t="n"/>
      <c r="D8" s="7" t="n"/>
      <c r="E8" s="7" t="n"/>
      <c r="F8" s="7">
        <f>IF(C8="","",(C8*D8)+E8)</f>
        <v/>
      </c>
      <c r="G8" s="7">
        <f>IF(C8="","",ROUND(SQRT(2*C8*365*2/0.5),0))</f>
        <v/>
      </c>
      <c r="H8" s="7">
        <f>IF(C8="","",ROUND(G8/C8,0))</f>
        <v/>
      </c>
      <c r="I8" s="7" t="n"/>
    </row>
    <row r="9">
      <c r="A9" s="8" t="n">
        <v>6</v>
      </c>
      <c r="B9" s="8" t="n"/>
      <c r="C9" s="8" t="n"/>
      <c r="D9" s="8" t="n"/>
      <c r="E9" s="8" t="n"/>
      <c r="F9" s="8">
        <f>IF(C9="","",(C9*D9)+E9)</f>
        <v/>
      </c>
      <c r="G9" s="8">
        <f>IF(C9="","",ROUND(SQRT(2*C9*365*2/0.5),0))</f>
        <v/>
      </c>
      <c r="H9" s="8">
        <f>IF(C9="","",ROUND(G9/C9,0))</f>
        <v/>
      </c>
      <c r="I9" s="8" t="n"/>
    </row>
    <row r="10">
      <c r="A10" s="7" t="n">
        <v>7</v>
      </c>
      <c r="B10" s="7" t="n"/>
      <c r="C10" s="7" t="n"/>
      <c r="D10" s="7" t="n"/>
      <c r="E10" s="7" t="n"/>
      <c r="F10" s="7">
        <f>IF(C10="","",(C10*D10)+E10)</f>
        <v/>
      </c>
      <c r="G10" s="7">
        <f>IF(C10="","",ROUND(SQRT(2*C10*365*2/0.5),0))</f>
        <v/>
      </c>
      <c r="H10" s="7">
        <f>IF(C10="","",ROUND(G10/C10,0))</f>
        <v/>
      </c>
      <c r="I10" s="7" t="n"/>
    </row>
    <row r="11">
      <c r="A11" s="8" t="n">
        <v>8</v>
      </c>
      <c r="B11" s="8" t="n"/>
      <c r="C11" s="8" t="n"/>
      <c r="D11" s="8" t="n"/>
      <c r="E11" s="8" t="n"/>
      <c r="F11" s="8">
        <f>IF(C11="","",(C11*D11)+E11)</f>
        <v/>
      </c>
      <c r="G11" s="8">
        <f>IF(C11="","",ROUND(SQRT(2*C11*365*2/0.5),0))</f>
        <v/>
      </c>
      <c r="H11" s="8">
        <f>IF(C11="","",ROUND(G11/C11,0))</f>
        <v/>
      </c>
      <c r="I11" s="8" t="n"/>
    </row>
    <row r="12">
      <c r="A12" s="7" t="n">
        <v>9</v>
      </c>
      <c r="B12" s="7" t="n"/>
      <c r="C12" s="7" t="n"/>
      <c r="D12" s="7" t="n"/>
      <c r="E12" s="7" t="n"/>
      <c r="F12" s="7">
        <f>IF(C12="","",(C12*D12)+E12)</f>
        <v/>
      </c>
      <c r="G12" s="7">
        <f>IF(C12="","",ROUND(SQRT(2*C12*365*2/0.5),0))</f>
        <v/>
      </c>
      <c r="H12" s="7">
        <f>IF(C12="","",ROUND(G12/C12,0))</f>
        <v/>
      </c>
      <c r="I12" s="7" t="n"/>
    </row>
    <row r="13">
      <c r="A13" s="8" t="n">
        <v>10</v>
      </c>
      <c r="B13" s="8" t="n"/>
      <c r="C13" s="8" t="n"/>
      <c r="D13" s="8" t="n"/>
      <c r="E13" s="8" t="n"/>
      <c r="F13" s="8">
        <f>IF(C13="","",(C13*D13)+E13)</f>
        <v/>
      </c>
      <c r="G13" s="8">
        <f>IF(C13="","",ROUND(SQRT(2*C13*365*2/0.5),0))</f>
        <v/>
      </c>
      <c r="H13" s="8">
        <f>IF(C13="","",ROUND(G13/C13,0))</f>
        <v/>
      </c>
      <c r="I13" s="8" t="n"/>
    </row>
    <row r="14">
      <c r="A14" s="7" t="n">
        <v>11</v>
      </c>
      <c r="B14" s="7" t="n"/>
      <c r="C14" s="7" t="n"/>
      <c r="D14" s="7" t="n"/>
      <c r="E14" s="7" t="n"/>
      <c r="F14" s="7">
        <f>IF(C14="","",(C14*D14)+E14)</f>
        <v/>
      </c>
      <c r="G14" s="7">
        <f>IF(C14="","",ROUND(SQRT(2*C14*365*2/0.5),0))</f>
        <v/>
      </c>
      <c r="H14" s="7">
        <f>IF(C14="","",ROUND(G14/C14,0))</f>
        <v/>
      </c>
      <c r="I14" s="7" t="n"/>
    </row>
    <row r="15">
      <c r="A15" s="8" t="n">
        <v>12</v>
      </c>
      <c r="B15" s="8" t="n"/>
      <c r="C15" s="8" t="n"/>
      <c r="D15" s="8" t="n"/>
      <c r="E15" s="8" t="n"/>
      <c r="F15" s="8">
        <f>IF(C15="","",(C15*D15)+E15)</f>
        <v/>
      </c>
      <c r="G15" s="8">
        <f>IF(C15="","",ROUND(SQRT(2*C15*365*2/0.5),0))</f>
        <v/>
      </c>
      <c r="H15" s="8">
        <f>IF(C15="","",ROUND(G15/C15,0))</f>
        <v/>
      </c>
      <c r="I15" s="8" t="n"/>
    </row>
    <row r="16">
      <c r="A16" s="7" t="n">
        <v>13</v>
      </c>
      <c r="B16" s="7" t="n"/>
      <c r="C16" s="7" t="n"/>
      <c r="D16" s="7" t="n"/>
      <c r="E16" s="7" t="n"/>
      <c r="F16" s="7">
        <f>IF(C16="","",(C16*D16)+E16)</f>
        <v/>
      </c>
      <c r="G16" s="7">
        <f>IF(C16="","",ROUND(SQRT(2*C16*365*2/0.5),0))</f>
        <v/>
      </c>
      <c r="H16" s="7">
        <f>IF(C16="","",ROUND(G16/C16,0))</f>
        <v/>
      </c>
      <c r="I16" s="7" t="n"/>
    </row>
    <row r="17">
      <c r="A17" s="8" t="n">
        <v>14</v>
      </c>
      <c r="B17" s="8" t="n"/>
      <c r="C17" s="8" t="n"/>
      <c r="D17" s="8" t="n"/>
      <c r="E17" s="8" t="n"/>
      <c r="F17" s="8">
        <f>IF(C17="","",(C17*D17)+E17)</f>
        <v/>
      </c>
      <c r="G17" s="8">
        <f>IF(C17="","",ROUND(SQRT(2*C17*365*2/0.5),0))</f>
        <v/>
      </c>
      <c r="H17" s="8">
        <f>IF(C17="","",ROUND(G17/C17,0))</f>
        <v/>
      </c>
      <c r="I17" s="8" t="n"/>
    </row>
    <row r="18">
      <c r="A18" s="7" t="n">
        <v>15</v>
      </c>
      <c r="B18" s="7" t="n"/>
      <c r="C18" s="7" t="n"/>
      <c r="D18" s="7" t="n"/>
      <c r="E18" s="7" t="n"/>
      <c r="F18" s="7">
        <f>IF(C18="","",(C18*D18)+E18)</f>
        <v/>
      </c>
      <c r="G18" s="7">
        <f>IF(C18="","",ROUND(SQRT(2*C18*365*2/0.5),0))</f>
        <v/>
      </c>
      <c r="H18" s="7">
        <f>IF(C18="","",ROUND(G18/C18,0))</f>
        <v/>
      </c>
      <c r="I18" s="7" t="n"/>
    </row>
    <row r="19">
      <c r="A19" s="8" t="n">
        <v>16</v>
      </c>
      <c r="B19" s="8" t="n"/>
      <c r="C19" s="8" t="n"/>
      <c r="D19" s="8" t="n"/>
      <c r="E19" s="8" t="n"/>
      <c r="F19" s="8">
        <f>IF(C19="","",(C19*D19)+E19)</f>
        <v/>
      </c>
      <c r="G19" s="8">
        <f>IF(C19="","",ROUND(SQRT(2*C19*365*2/0.5),0))</f>
        <v/>
      </c>
      <c r="H19" s="8">
        <f>IF(C19="","",ROUND(G19/C19,0))</f>
        <v/>
      </c>
      <c r="I19" s="8" t="n"/>
    </row>
    <row r="20">
      <c r="A20" s="7" t="n">
        <v>17</v>
      </c>
      <c r="B20" s="7" t="n"/>
      <c r="C20" s="7" t="n"/>
      <c r="D20" s="7" t="n"/>
      <c r="E20" s="7" t="n"/>
      <c r="F20" s="7">
        <f>IF(C20="","",(C20*D20)+E20)</f>
        <v/>
      </c>
      <c r="G20" s="7">
        <f>IF(C20="","",ROUND(SQRT(2*C20*365*2/0.5),0))</f>
        <v/>
      </c>
      <c r="H20" s="7">
        <f>IF(C20="","",ROUND(G20/C20,0))</f>
        <v/>
      </c>
      <c r="I20" s="7" t="n"/>
    </row>
    <row r="21">
      <c r="A21" s="8" t="n">
        <v>18</v>
      </c>
      <c r="B21" s="8" t="n"/>
      <c r="C21" s="8" t="n"/>
      <c r="D21" s="8" t="n"/>
      <c r="E21" s="8" t="n"/>
      <c r="F21" s="8">
        <f>IF(C21="","",(C21*D21)+E21)</f>
        <v/>
      </c>
      <c r="G21" s="8">
        <f>IF(C21="","",ROUND(SQRT(2*C21*365*2/0.5),0))</f>
        <v/>
      </c>
      <c r="H21" s="8">
        <f>IF(C21="","",ROUND(G21/C21,0))</f>
        <v/>
      </c>
      <c r="I21" s="8" t="n"/>
    </row>
    <row r="22">
      <c r="A22" s="7" t="n">
        <v>19</v>
      </c>
      <c r="B22" s="7" t="n"/>
      <c r="C22" s="7" t="n"/>
      <c r="D22" s="7" t="n"/>
      <c r="E22" s="7" t="n"/>
      <c r="F22" s="7">
        <f>IF(C22="","",(C22*D22)+E22)</f>
        <v/>
      </c>
      <c r="G22" s="7">
        <f>IF(C22="","",ROUND(SQRT(2*C22*365*2/0.5),0))</f>
        <v/>
      </c>
      <c r="H22" s="7">
        <f>IF(C22="","",ROUND(G22/C22,0))</f>
        <v/>
      </c>
      <c r="I22" s="7" t="n"/>
    </row>
    <row r="23">
      <c r="A23" s="8" t="n">
        <v>20</v>
      </c>
      <c r="B23" s="8" t="n"/>
      <c r="C23" s="8" t="n"/>
      <c r="D23" s="8" t="n"/>
      <c r="E23" s="8" t="n"/>
      <c r="F23" s="8">
        <f>IF(C23="","",(C23*D23)+E23)</f>
        <v/>
      </c>
      <c r="G23" s="8">
        <f>IF(C23="","",ROUND(SQRT(2*C23*365*2/0.5),0))</f>
        <v/>
      </c>
      <c r="H23" s="8">
        <f>IF(C23="","",ROUND(G23/C23,0))</f>
        <v/>
      </c>
      <c r="I23" s="8" t="n"/>
    </row>
    <row r="24">
      <c r="A24" s="7" t="n">
        <v>21</v>
      </c>
      <c r="B24" s="7" t="n"/>
      <c r="C24" s="7" t="n"/>
      <c r="D24" s="7" t="n"/>
      <c r="E24" s="7" t="n"/>
      <c r="F24" s="7">
        <f>IF(C24="","",(C24*D24)+E24)</f>
        <v/>
      </c>
      <c r="G24" s="7">
        <f>IF(C24="","",ROUND(SQRT(2*C24*365*2/0.5),0))</f>
        <v/>
      </c>
      <c r="H24" s="7">
        <f>IF(C24="","",ROUND(G24/C24,0))</f>
        <v/>
      </c>
      <c r="I24" s="7" t="n"/>
    </row>
    <row r="25">
      <c r="A25" s="8" t="n">
        <v>22</v>
      </c>
      <c r="B25" s="8" t="n"/>
      <c r="C25" s="8" t="n"/>
      <c r="D25" s="8" t="n"/>
      <c r="E25" s="8" t="n"/>
      <c r="F25" s="8">
        <f>IF(C25="","",(C25*D25)+E25)</f>
        <v/>
      </c>
      <c r="G25" s="8">
        <f>IF(C25="","",ROUND(SQRT(2*C25*365*2/0.5),0))</f>
        <v/>
      </c>
      <c r="H25" s="8">
        <f>IF(C25="","",ROUND(G25/C25,0))</f>
        <v/>
      </c>
      <c r="I25" s="8" t="n"/>
    </row>
    <row r="26">
      <c r="A26" s="7" t="n">
        <v>23</v>
      </c>
      <c r="B26" s="7" t="n"/>
      <c r="C26" s="7" t="n"/>
      <c r="D26" s="7" t="n"/>
      <c r="E26" s="7" t="n"/>
      <c r="F26" s="7">
        <f>IF(C26="","",(C26*D26)+E26)</f>
        <v/>
      </c>
      <c r="G26" s="7">
        <f>IF(C26="","",ROUND(SQRT(2*C26*365*2/0.5),0))</f>
        <v/>
      </c>
      <c r="H26" s="7">
        <f>IF(C26="","",ROUND(G26/C26,0))</f>
        <v/>
      </c>
      <c r="I26" s="7" t="n"/>
    </row>
    <row r="27">
      <c r="A27" s="8" t="n">
        <v>24</v>
      </c>
      <c r="B27" s="8" t="n"/>
      <c r="C27" s="8" t="n"/>
      <c r="D27" s="8" t="n"/>
      <c r="E27" s="8" t="n"/>
      <c r="F27" s="8">
        <f>IF(C27="","",(C27*D27)+E27)</f>
        <v/>
      </c>
      <c r="G27" s="8">
        <f>IF(C27="","",ROUND(SQRT(2*C27*365*2/0.5),0))</f>
        <v/>
      </c>
      <c r="H27" s="8">
        <f>IF(C27="","",ROUND(G27/C27,0))</f>
        <v/>
      </c>
      <c r="I27" s="8" t="n"/>
    </row>
    <row r="28">
      <c r="A28" s="7" t="n">
        <v>25</v>
      </c>
      <c r="B28" s="7" t="n"/>
      <c r="C28" s="7" t="n"/>
      <c r="D28" s="7" t="n"/>
      <c r="E28" s="7" t="n"/>
      <c r="F28" s="7">
        <f>IF(C28="","",(C28*D28)+E28)</f>
        <v/>
      </c>
      <c r="G28" s="7">
        <f>IF(C28="","",ROUND(SQRT(2*C28*365*2/0.5),0))</f>
        <v/>
      </c>
      <c r="H28" s="7">
        <f>IF(C28="","",ROUND(G28/C28,0))</f>
        <v/>
      </c>
      <c r="I28" s="7" t="n"/>
    </row>
    <row r="29">
      <c r="A29" s="8" t="n">
        <v>26</v>
      </c>
      <c r="B29" s="8" t="n"/>
      <c r="C29" s="8" t="n"/>
      <c r="D29" s="8" t="n"/>
      <c r="E29" s="8" t="n"/>
      <c r="F29" s="8">
        <f>IF(C29="","",(C29*D29)+E29)</f>
        <v/>
      </c>
      <c r="G29" s="8">
        <f>IF(C29="","",ROUND(SQRT(2*C29*365*2/0.5),0))</f>
        <v/>
      </c>
      <c r="H29" s="8">
        <f>IF(C29="","",ROUND(G29/C29,0))</f>
        <v/>
      </c>
      <c r="I29" s="8" t="n"/>
    </row>
    <row r="30">
      <c r="A30" s="7" t="n">
        <v>27</v>
      </c>
      <c r="B30" s="7" t="n"/>
      <c r="C30" s="7" t="n"/>
      <c r="D30" s="7" t="n"/>
      <c r="E30" s="7" t="n"/>
      <c r="F30" s="7">
        <f>IF(C30="","",(C30*D30)+E30)</f>
        <v/>
      </c>
      <c r="G30" s="7">
        <f>IF(C30="","",ROUND(SQRT(2*C30*365*2/0.5),0))</f>
        <v/>
      </c>
      <c r="H30" s="7">
        <f>IF(C30="","",ROUND(G30/C30,0))</f>
        <v/>
      </c>
      <c r="I30" s="7" t="n"/>
    </row>
    <row r="31">
      <c r="A31" s="8" t="n">
        <v>28</v>
      </c>
      <c r="B31" s="8" t="n"/>
      <c r="C31" s="8" t="n"/>
      <c r="D31" s="8" t="n"/>
      <c r="E31" s="8" t="n"/>
      <c r="F31" s="8">
        <f>IF(C31="","",(C31*D31)+E31)</f>
        <v/>
      </c>
      <c r="G31" s="8">
        <f>IF(C31="","",ROUND(SQRT(2*C31*365*2/0.5),0))</f>
        <v/>
      </c>
      <c r="H31" s="8">
        <f>IF(C31="","",ROUND(G31/C31,0))</f>
        <v/>
      </c>
      <c r="I31" s="8" t="n"/>
    </row>
    <row r="32">
      <c r="A32" s="7" t="n">
        <v>29</v>
      </c>
      <c r="B32" s="7" t="n"/>
      <c r="C32" s="7" t="n"/>
      <c r="D32" s="7" t="n"/>
      <c r="E32" s="7" t="n"/>
      <c r="F32" s="7">
        <f>IF(C32="","",(C32*D32)+E32)</f>
        <v/>
      </c>
      <c r="G32" s="7">
        <f>IF(C32="","",ROUND(SQRT(2*C32*365*2/0.5),0))</f>
        <v/>
      </c>
      <c r="H32" s="7">
        <f>IF(C32="","",ROUND(G32/C32,0))</f>
        <v/>
      </c>
      <c r="I32" s="7" t="n"/>
    </row>
    <row r="33">
      <c r="A33" s="8" t="n">
        <v>30</v>
      </c>
      <c r="B33" s="8" t="n"/>
      <c r="C33" s="8" t="n"/>
      <c r="D33" s="8" t="n"/>
      <c r="E33" s="8" t="n"/>
      <c r="F33" s="8">
        <f>IF(C33="","",(C33*D33)+E33)</f>
        <v/>
      </c>
      <c r="G33" s="8">
        <f>IF(C33="","",ROUND(SQRT(2*C33*365*2/0.5),0))</f>
        <v/>
      </c>
      <c r="H33" s="8">
        <f>IF(C33="","",ROUND(G33/C33,0))</f>
        <v/>
      </c>
      <c r="I33" s="8" t="n"/>
    </row>
  </sheetData>
  <mergeCells count="1">
    <mergeCell ref="A1:I1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tabColor rgb="0078909C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customWidth="1" max="1" min="1" width="30"/>
    <col customWidth="1" max="2" min="2" width="30"/>
    <col customWidth="1" max="3" min="3" width="30"/>
  </cols>
  <sheetData>
    <row r="1">
      <c r="A1" s="5" t="inlineStr">
        <is>
          <t>PARÁMETROS DE REFERENCIA</t>
        </is>
      </c>
    </row>
    <row r="3">
      <c r="A3" s="9" t="inlineStr">
        <is>
          <t>Parámetro</t>
        </is>
      </c>
      <c r="B3" s="9" t="inlineStr">
        <is>
          <t>Valor Típico</t>
        </is>
      </c>
      <c r="C3" s="9" t="inlineStr">
        <is>
          <t>Notas</t>
        </is>
      </c>
    </row>
    <row r="4">
      <c r="A4" t="inlineStr">
        <is>
          <t>Coste de pedido (€)</t>
        </is>
      </c>
      <c r="B4" t="inlineStr">
        <is>
          <t>2-5 €</t>
        </is>
      </c>
      <c r="C4" t="inlineStr">
        <is>
          <t>Coste admin de hacer un pedido</t>
        </is>
      </c>
    </row>
    <row r="5">
      <c r="A5" t="inlineStr">
        <is>
          <t>Coste almacenamiento (%)</t>
        </is>
      </c>
      <c r="B5" t="inlineStr">
        <is>
          <t>20-30% anual</t>
        </is>
      </c>
      <c r="C5" t="inlineStr">
        <is>
          <t>% del valor del producto</t>
        </is>
      </c>
    </row>
    <row r="6">
      <c r="A6" t="inlineStr">
        <is>
          <t>Lead time cárnicos</t>
        </is>
      </c>
      <c r="B6" t="inlineStr">
        <is>
          <t>1-2 días</t>
        </is>
      </c>
      <c r="C6" t="inlineStr">
        <is>
          <t>Entregas diarias habituales</t>
        </is>
      </c>
    </row>
    <row r="7">
      <c r="A7" t="inlineStr">
        <is>
          <t>Lead time pescado</t>
        </is>
      </c>
      <c r="B7" t="inlineStr">
        <is>
          <t>1 día</t>
        </is>
      </c>
      <c r="C7" t="inlineStr">
        <is>
          <t>Entrega diaria obligatoria</t>
        </is>
      </c>
    </row>
    <row r="8">
      <c r="A8" t="inlineStr">
        <is>
          <t>Lead time secos</t>
        </is>
      </c>
      <c r="B8" t="inlineStr">
        <is>
          <t>3-5 días</t>
        </is>
      </c>
      <c r="C8" t="inlineStr">
        <is>
          <t>Pedidos semanales</t>
        </is>
      </c>
    </row>
    <row r="9">
      <c r="A9" t="inlineStr">
        <is>
          <t>Lead time congelados</t>
        </is>
      </c>
      <c r="B9" t="inlineStr">
        <is>
          <t>2-3 días</t>
        </is>
      </c>
      <c r="C9" t="inlineStr">
        <is>
          <t>Pedidos 2x/semana</t>
        </is>
      </c>
    </row>
    <row r="10">
      <c r="A10" t="inlineStr">
        <is>
          <t>Stock seguridad (días)</t>
        </is>
      </c>
      <c r="B10" t="inlineStr">
        <is>
          <t>1-3 días</t>
        </is>
      </c>
      <c r="C10" t="inlineStr">
        <is>
          <t>Según criticidad del producto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2026-04-05T09:47:46Z</dcterms:created>
  <dcterms:modified xsi:type="dcterms:W3CDTF">2026-04-05T09:47:46Z</dcterms:modified>
</cp:coreProperties>
</file>