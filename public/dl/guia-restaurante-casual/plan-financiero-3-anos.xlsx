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versión" sheetId="2" state="visible" r:id="rId2"/>
    <sheet xmlns:r="http://schemas.openxmlformats.org/officeDocument/2006/relationships" name="P&amp;L 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565C0"/>
      <sz val="11"/>
    </font>
    <font>
      <name val="Calibri"/>
      <b val="1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Plan Financiero 3 Años — Restaurante Casual 80 Plazas</t>
        </is>
      </c>
    </row>
    <row r="2">
      <c r="A2" s="2" t="inlineStr">
        <is>
          <t>AI Chef Pro · aichef.pro — Restaurante Casual</t>
        </is>
      </c>
    </row>
    <row r="4">
      <c r="A4" s="3" t="inlineStr">
        <is>
          <t>Instrucciones de uso</t>
        </is>
      </c>
    </row>
    <row r="5">
      <c r="A5" s="4" t="inlineStr">
        <is>
          <t>1. Rellena las celdas verdes con los datos de tu proyecto.</t>
        </is>
      </c>
    </row>
    <row r="6">
      <c r="A6" s="4" t="inlineStr">
        <is>
          <t>2. Las fórmulas se recalculan automáticamente.</t>
        </is>
      </c>
    </row>
    <row r="7">
      <c r="A7" s="4" t="inlineStr">
        <is>
          <t>3. Pestaña 'Inversión' = CAPEX inicial desglosado.</t>
        </is>
      </c>
    </row>
    <row r="8">
      <c r="A8" s="4" t="inlineStr">
        <is>
          <t>4. Pestaña 'P&amp;L Mensual' = cuenta de resultados mes a mes.</t>
        </is>
      </c>
    </row>
    <row r="9">
      <c r="A9" s="4" t="inlineStr">
        <is>
          <t>5. Pestaña 'Proyección 3 Años' = evolución anual.</t>
        </is>
      </c>
    </row>
    <row r="11">
      <c r="A11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 ht="30" customHeight="1">
      <c r="A1" s="1" t="inlineStr">
        <is>
          <t>Inversión Inicial — Restaurante Casual 80 Plazas</t>
        </is>
      </c>
    </row>
    <row r="2">
      <c r="A2" s="2" t="inlineStr">
        <is>
          <t>AI Chef Pro · aichef.pro — Restaurante Casual</t>
        </is>
      </c>
    </row>
    <row r="4">
      <c r="A4" s="6" t="inlineStr">
        <is>
          <t>Categoría</t>
        </is>
      </c>
      <c r="B4" s="6" t="inlineStr">
        <is>
          <t>Partida</t>
        </is>
      </c>
      <c r="C4" s="6" t="inlineStr">
        <is>
          <t>Coste Estimado (€)</t>
        </is>
      </c>
      <c r="D4" s="6" t="inlineStr">
        <is>
          <t>Coste Real (€)</t>
        </is>
      </c>
      <c r="E4" s="6" t="inlineStr">
        <is>
          <t>Diferencia</t>
        </is>
      </c>
      <c r="F4" s="6" t="inlineStr">
        <is>
          <t>Notas</t>
        </is>
      </c>
    </row>
    <row r="5">
      <c r="A5" s="7" t="inlineStr">
        <is>
          <t>Obra Civil</t>
        </is>
      </c>
      <c r="B5" s="7" t="inlineStr">
        <is>
          <t>Acondicionamiento local</t>
        </is>
      </c>
      <c r="C5" s="8" t="n">
        <v>85000</v>
      </c>
      <c r="D5" s="9" t="n"/>
      <c r="E5" s="10">
        <f>D5-C5</f>
        <v/>
      </c>
      <c r="F5" s="11" t="n"/>
    </row>
    <row r="6">
      <c r="A6" s="7" t="inlineStr">
        <is>
          <t>Obra Civil</t>
        </is>
      </c>
      <c r="B6" s="7" t="inlineStr">
        <is>
          <t>Instalaciones eléctricas y gas</t>
        </is>
      </c>
      <c r="C6" s="8" t="n">
        <v>12000</v>
      </c>
      <c r="D6" s="9" t="n"/>
      <c r="E6" s="10">
        <f>D6-C6</f>
        <v/>
      </c>
      <c r="F6" s="11" t="n"/>
    </row>
    <row r="7">
      <c r="A7" s="7" t="inlineStr">
        <is>
          <t>Obra Civil</t>
        </is>
      </c>
      <c r="B7" s="7" t="inlineStr">
        <is>
          <t>Fontanería y saneamiento</t>
        </is>
      </c>
      <c r="C7" s="8" t="n">
        <v>8000</v>
      </c>
      <c r="D7" s="9" t="n"/>
      <c r="E7" s="10">
        <f>D7-C7</f>
        <v/>
      </c>
      <c r="F7" s="11" t="n"/>
    </row>
    <row r="8">
      <c r="A8" s="7" t="inlineStr">
        <is>
          <t>Obra Civil</t>
        </is>
      </c>
      <c r="B8" s="7" t="inlineStr">
        <is>
          <t>Climatización / HVAC</t>
        </is>
      </c>
      <c r="C8" s="8" t="n">
        <v>10000</v>
      </c>
      <c r="D8" s="9" t="n"/>
      <c r="E8" s="10">
        <f>D8-C8</f>
        <v/>
      </c>
      <c r="F8" s="11" t="n"/>
    </row>
    <row r="9">
      <c r="A9" s="7" t="inlineStr">
        <is>
          <t>Cocina</t>
        </is>
      </c>
      <c r="B9" s="7" t="inlineStr">
        <is>
          <t>Equipamiento cocina completo</t>
        </is>
      </c>
      <c r="C9" s="8" t="n">
        <v>45000</v>
      </c>
      <c r="D9" s="9" t="n"/>
      <c r="E9" s="10">
        <f>D9-C9</f>
        <v/>
      </c>
      <c r="F9" s="11" t="n"/>
    </row>
    <row r="10">
      <c r="A10" s="7" t="inlineStr">
        <is>
          <t>Cocina</t>
        </is>
      </c>
      <c r="B10" s="7" t="inlineStr">
        <is>
          <t>Campana extractora + conductos</t>
        </is>
      </c>
      <c r="C10" s="8" t="n">
        <v>5000</v>
      </c>
      <c r="D10" s="9" t="n"/>
      <c r="E10" s="10">
        <f>D10-C10</f>
        <v/>
      </c>
      <c r="F10" s="11" t="n"/>
    </row>
    <row r="11">
      <c r="A11" s="7" t="inlineStr">
        <is>
          <t>Cocina</t>
        </is>
      </c>
      <c r="B11" s="7" t="inlineStr">
        <is>
          <t>Menaje, ollas, sartenes, GN</t>
        </is>
      </c>
      <c r="C11" s="8" t="n">
        <v>3000</v>
      </c>
      <c r="D11" s="9" t="n"/>
      <c r="E11" s="10">
        <f>D11-C11</f>
        <v/>
      </c>
      <c r="F11" s="11" t="n"/>
    </row>
    <row r="12">
      <c r="A12" s="7" t="inlineStr">
        <is>
          <t>Sala</t>
        </is>
      </c>
      <c r="B12" s="7" t="inlineStr">
        <is>
          <t>Mobiliario interior (mesas + sillas)</t>
        </is>
      </c>
      <c r="C12" s="8" t="n">
        <v>18000</v>
      </c>
      <c r="D12" s="9" t="n"/>
      <c r="E12" s="10">
        <f>D12-C12</f>
        <v/>
      </c>
      <c r="F12" s="11" t="n"/>
    </row>
    <row r="13">
      <c r="A13" s="7" t="inlineStr">
        <is>
          <t>Sala</t>
        </is>
      </c>
      <c r="B13" s="7" t="inlineStr">
        <is>
          <t>Barra y taburetes</t>
        </is>
      </c>
      <c r="C13" s="8" t="n">
        <v>6000</v>
      </c>
      <c r="D13" s="9" t="n"/>
      <c r="E13" s="10">
        <f>D13-C13</f>
        <v/>
      </c>
      <c r="F13" s="11" t="n"/>
    </row>
    <row r="14">
      <c r="A14" s="7" t="inlineStr">
        <is>
          <t>Sala</t>
        </is>
      </c>
      <c r="B14" s="7" t="inlineStr">
        <is>
          <t>Iluminación decorativa</t>
        </is>
      </c>
      <c r="C14" s="8" t="n">
        <v>4000</v>
      </c>
      <c r="D14" s="9" t="n"/>
      <c r="E14" s="10">
        <f>D14-C14</f>
        <v/>
      </c>
      <c r="F14" s="11" t="n"/>
    </row>
    <row r="15">
      <c r="A15" s="7" t="inlineStr">
        <is>
          <t>Sala</t>
        </is>
      </c>
      <c r="B15" s="7" t="inlineStr">
        <is>
          <t>Decoración e interiorismo</t>
        </is>
      </c>
      <c r="C15" s="8" t="n">
        <v>5000</v>
      </c>
      <c r="D15" s="9" t="n"/>
      <c r="E15" s="10">
        <f>D15-C15</f>
        <v/>
      </c>
      <c r="F15" s="11" t="n"/>
    </row>
    <row r="16">
      <c r="A16" s="7" t="inlineStr">
        <is>
          <t>Terraza</t>
        </is>
      </c>
      <c r="B16" s="7" t="inlineStr">
        <is>
          <t>Mobiliario terraza</t>
        </is>
      </c>
      <c r="C16" s="8" t="n">
        <v>8000</v>
      </c>
      <c r="D16" s="9" t="n"/>
      <c r="E16" s="10">
        <f>D16-C16</f>
        <v/>
      </c>
      <c r="F16" s="11" t="n"/>
    </row>
    <row r="17">
      <c r="A17" s="7" t="inlineStr">
        <is>
          <t>Terraza</t>
        </is>
      </c>
      <c r="B17" s="7" t="inlineStr">
        <is>
          <t>Sombrillas / toldos</t>
        </is>
      </c>
      <c r="C17" s="8" t="n">
        <v>3000</v>
      </c>
      <c r="D17" s="9" t="n"/>
      <c r="E17" s="10">
        <f>D17-C17</f>
        <v/>
      </c>
      <c r="F17" s="11" t="n"/>
    </row>
    <row r="18">
      <c r="A18" s="7" t="inlineStr">
        <is>
          <t>Vajilla</t>
        </is>
      </c>
      <c r="B18" s="7" t="inlineStr">
        <is>
          <t>Vajilla, cristalería, cubertería</t>
        </is>
      </c>
      <c r="C18" s="8" t="n">
        <v>5000</v>
      </c>
      <c r="D18" s="9" t="n"/>
      <c r="E18" s="10">
        <f>D18-C18</f>
        <v/>
      </c>
      <c r="F18" s="11" t="n"/>
    </row>
    <row r="19">
      <c r="A19" s="7" t="inlineStr">
        <is>
          <t>Tecnología</t>
        </is>
      </c>
      <c r="B19" s="7" t="inlineStr">
        <is>
          <t>TPV + software</t>
        </is>
      </c>
      <c r="C19" s="8" t="n">
        <v>3000</v>
      </c>
      <c r="D19" s="9" t="n"/>
      <c r="E19" s="10">
        <f>D19-C19</f>
        <v/>
      </c>
      <c r="F19" s="11" t="n"/>
    </row>
    <row r="20">
      <c r="A20" s="7" t="inlineStr">
        <is>
          <t>Tecnología</t>
        </is>
      </c>
      <c r="B20" s="7" t="inlineStr">
        <is>
          <t>Web + carta digital + delivery</t>
        </is>
      </c>
      <c r="C20" s="8" t="n">
        <v>2000</v>
      </c>
      <c r="D20" s="9" t="n"/>
      <c r="E20" s="10">
        <f>D20-C20</f>
        <v/>
      </c>
      <c r="F20" s="11" t="n"/>
    </row>
    <row r="21">
      <c r="A21" s="7" t="inlineStr">
        <is>
          <t>Licencias</t>
        </is>
      </c>
      <c r="B21" s="7" t="inlineStr">
        <is>
          <t>Licencia actividad + terraza</t>
        </is>
      </c>
      <c r="C21" s="8" t="n">
        <v>8000</v>
      </c>
      <c r="D21" s="9" t="n"/>
      <c r="E21" s="10">
        <f>D21-C21</f>
        <v/>
      </c>
      <c r="F21" s="11" t="n"/>
    </row>
    <row r="22">
      <c r="A22" s="7" t="inlineStr">
        <is>
          <t>Licencias</t>
        </is>
      </c>
      <c r="B22" s="7" t="inlineStr">
        <is>
          <t>Proyecto técnico + tasas</t>
        </is>
      </c>
      <c r="C22" s="8" t="n">
        <v>4000</v>
      </c>
      <c r="D22" s="9" t="n"/>
      <c r="E22" s="10">
        <f>D22-C22</f>
        <v/>
      </c>
      <c r="F22" s="11" t="n"/>
    </row>
    <row r="23">
      <c r="A23" s="7" t="inlineStr">
        <is>
          <t>Marketing</t>
        </is>
      </c>
      <c r="B23" s="7" t="inlineStr">
        <is>
          <t>Branding, diseño, fotos</t>
        </is>
      </c>
      <c r="C23" s="8" t="n">
        <v>3000</v>
      </c>
      <c r="D23" s="9" t="n"/>
      <c r="E23" s="10">
        <f>D23-C23</f>
        <v/>
      </c>
      <c r="F23" s="11" t="n"/>
    </row>
    <row r="24">
      <c r="A24" s="7" t="inlineStr">
        <is>
          <t>Marketing</t>
        </is>
      </c>
      <c r="B24" s="7" t="inlineStr">
        <is>
          <t>Campaña pre-apertura</t>
        </is>
      </c>
      <c r="C24" s="8" t="n">
        <v>3000</v>
      </c>
      <c r="D24" s="9" t="n"/>
      <c r="E24" s="10">
        <f>D24-C24</f>
        <v/>
      </c>
      <c r="F24" s="11" t="n"/>
    </row>
    <row r="25">
      <c r="A25" s="7" t="inlineStr">
        <is>
          <t>Stock</t>
        </is>
      </c>
      <c r="B25" s="7" t="inlineStr">
        <is>
          <t>Materia prima inicial</t>
        </is>
      </c>
      <c r="C25" s="8" t="n">
        <v>6000</v>
      </c>
      <c r="D25" s="9" t="n"/>
      <c r="E25" s="10">
        <f>D25-C25</f>
        <v/>
      </c>
      <c r="F25" s="11" t="n"/>
    </row>
    <row r="26">
      <c r="A26" s="7" t="inlineStr">
        <is>
          <t>Stock</t>
        </is>
      </c>
      <c r="B26" s="7" t="inlineStr">
        <is>
          <t>Bebidas y bodega inicial</t>
        </is>
      </c>
      <c r="C26" s="8" t="n">
        <v>4000</v>
      </c>
      <c r="D26" s="9" t="n"/>
      <c r="E26" s="10">
        <f>D26-C26</f>
        <v/>
      </c>
      <c r="F26" s="11" t="n"/>
    </row>
    <row r="27">
      <c r="A27" s="7" t="inlineStr">
        <is>
          <t>Maniobra</t>
        </is>
      </c>
      <c r="B27" s="7" t="inlineStr">
        <is>
          <t>Fondo de maniobra (3 meses)</t>
        </is>
      </c>
      <c r="C27" s="8" t="n">
        <v>55000</v>
      </c>
      <c r="D27" s="9" t="n"/>
      <c r="E27" s="10">
        <f>D27-C27</f>
        <v/>
      </c>
      <c r="F27" s="11" t="n"/>
    </row>
    <row r="29">
      <c r="B29" s="12" t="inlineStr">
        <is>
          <t>TOTAL INVERSIÓN</t>
        </is>
      </c>
      <c r="C29" s="13">
        <f>SUM(C5:C27)</f>
        <v/>
      </c>
      <c r="D29" s="13">
        <f>SUM(D5:D27)</f>
        <v/>
      </c>
      <c r="E29" s="13">
        <f>D29-C29</f>
        <v/>
      </c>
    </row>
    <row r="31">
      <c r="A31" s="14" t="inlineStr">
        <is>
          <t>AI Chef Pro · aichef.pro — Restaurante Casual</t>
        </is>
      </c>
    </row>
  </sheetData>
  <mergeCells count="3">
    <mergeCell ref="A31:F31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196F3"/>
    <outlinePr summaryBelow="1" summaryRight="1"/>
    <pageSetUpPr/>
  </sheetPr>
  <dimension ref="A1:N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1" t="inlineStr">
        <is>
          <t>P&amp;L Mensual — Restaurante Casual 80 Plazas</t>
        </is>
      </c>
    </row>
    <row r="2">
      <c r="A2" s="2" t="inlineStr">
        <is>
          <t>AI Chef Pro · aichef.pro — Restaurante Casual</t>
        </is>
      </c>
    </row>
    <row r="4">
      <c r="A4" s="6" t="inlineStr">
        <is>
          <t>Concepto</t>
        </is>
      </c>
      <c r="B4" s="6" t="inlineStr">
        <is>
          <t>Ene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Abr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Ago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Dic</t>
        </is>
      </c>
      <c r="N4" s="6" t="inlineStr">
        <is>
          <t>TOTAL</t>
        </is>
      </c>
    </row>
    <row r="5">
      <c r="A5" s="12" t="inlineStr">
        <is>
          <t>INGRESOS</t>
        </is>
      </c>
    </row>
    <row r="6">
      <c r="A6" s="7" t="inlineStr">
        <is>
          <t>Ventas sala</t>
        </is>
      </c>
      <c r="B6" s="9" t="n">
        <v>35000</v>
      </c>
      <c r="C6" s="9" t="n">
        <v>35000</v>
      </c>
      <c r="D6" s="9" t="n">
        <v>35000</v>
      </c>
      <c r="E6" s="9" t="n">
        <v>35000</v>
      </c>
      <c r="F6" s="9" t="n">
        <v>35000</v>
      </c>
      <c r="G6" s="9" t="n">
        <v>35000</v>
      </c>
      <c r="H6" s="9" t="n">
        <v>35000</v>
      </c>
      <c r="I6" s="9" t="n">
        <v>35000</v>
      </c>
      <c r="J6" s="9" t="n">
        <v>35000</v>
      </c>
      <c r="K6" s="9" t="n">
        <v>35000</v>
      </c>
      <c r="L6" s="9" t="n">
        <v>35000</v>
      </c>
      <c r="M6" s="9" t="n">
        <v>35000</v>
      </c>
      <c r="N6" s="13">
        <f>SUM(B6:M6)</f>
        <v/>
      </c>
    </row>
    <row r="7">
      <c r="A7" s="7" t="inlineStr">
        <is>
          <t>Menú del día</t>
        </is>
      </c>
      <c r="B7" s="9" t="n">
        <v>8000</v>
      </c>
      <c r="C7" s="9" t="n">
        <v>8000</v>
      </c>
      <c r="D7" s="9" t="n">
        <v>8000</v>
      </c>
      <c r="E7" s="9" t="n">
        <v>8000</v>
      </c>
      <c r="F7" s="9" t="n">
        <v>8000</v>
      </c>
      <c r="G7" s="9" t="n">
        <v>8000</v>
      </c>
      <c r="H7" s="9" t="n">
        <v>8000</v>
      </c>
      <c r="I7" s="9" t="n">
        <v>8000</v>
      </c>
      <c r="J7" s="9" t="n">
        <v>8000</v>
      </c>
      <c r="K7" s="9" t="n">
        <v>8000</v>
      </c>
      <c r="L7" s="9" t="n">
        <v>8000</v>
      </c>
      <c r="M7" s="9" t="n">
        <v>8000</v>
      </c>
      <c r="N7" s="13">
        <f>SUM(B7:M7)</f>
        <v/>
      </c>
    </row>
    <row r="8">
      <c r="A8" s="7" t="inlineStr">
        <is>
          <t>Delivery</t>
        </is>
      </c>
      <c r="B8" s="9" t="n">
        <v>6000</v>
      </c>
      <c r="C8" s="9" t="n">
        <v>6000</v>
      </c>
      <c r="D8" s="9" t="n">
        <v>6000</v>
      </c>
      <c r="E8" s="9" t="n">
        <v>6000</v>
      </c>
      <c r="F8" s="9" t="n">
        <v>6000</v>
      </c>
      <c r="G8" s="9" t="n">
        <v>6000</v>
      </c>
      <c r="H8" s="9" t="n">
        <v>6000</v>
      </c>
      <c r="I8" s="9" t="n">
        <v>6000</v>
      </c>
      <c r="J8" s="9" t="n">
        <v>6000</v>
      </c>
      <c r="K8" s="9" t="n">
        <v>6000</v>
      </c>
      <c r="L8" s="9" t="n">
        <v>6000</v>
      </c>
      <c r="M8" s="9" t="n">
        <v>6000</v>
      </c>
      <c r="N8" s="13">
        <f>SUM(B8:M8)</f>
        <v/>
      </c>
    </row>
    <row r="9">
      <c r="A9" s="7" t="inlineStr">
        <is>
          <t>Bebidas</t>
        </is>
      </c>
      <c r="B9" s="9" t="n">
        <v>10000</v>
      </c>
      <c r="C9" s="9" t="n">
        <v>10000</v>
      </c>
      <c r="D9" s="9" t="n">
        <v>10000</v>
      </c>
      <c r="E9" s="9" t="n">
        <v>10000</v>
      </c>
      <c r="F9" s="9" t="n">
        <v>10000</v>
      </c>
      <c r="G9" s="9" t="n">
        <v>10000</v>
      </c>
      <c r="H9" s="9" t="n">
        <v>10000</v>
      </c>
      <c r="I9" s="9" t="n">
        <v>10000</v>
      </c>
      <c r="J9" s="9" t="n">
        <v>10000</v>
      </c>
      <c r="K9" s="9" t="n">
        <v>10000</v>
      </c>
      <c r="L9" s="9" t="n">
        <v>10000</v>
      </c>
      <c r="M9" s="9" t="n">
        <v>10000</v>
      </c>
      <c r="N9" s="13">
        <f>SUM(B9:M9)</f>
        <v/>
      </c>
    </row>
    <row r="10">
      <c r="A10" s="12" t="inlineStr">
        <is>
          <t>TOTAL INGRESOS</t>
        </is>
      </c>
    </row>
    <row r="11">
      <c r="A11" s="7" t="inlineStr"/>
    </row>
    <row r="12">
      <c r="A12" s="12" t="inlineStr">
        <is>
          <t>COSTES VARIABLES</t>
        </is>
      </c>
    </row>
    <row r="13">
      <c r="A13" s="7" t="inlineStr">
        <is>
          <t>Food cost (30%)</t>
        </is>
      </c>
    </row>
    <row r="14">
      <c r="A14" s="7" t="inlineStr">
        <is>
          <t>Packaging delivery</t>
        </is>
      </c>
      <c r="B14" s="9" t="n">
        <v>400</v>
      </c>
      <c r="C14" s="9" t="n">
        <v>400</v>
      </c>
      <c r="D14" s="9" t="n">
        <v>400</v>
      </c>
      <c r="E14" s="9" t="n">
        <v>400</v>
      </c>
      <c r="F14" s="9" t="n">
        <v>400</v>
      </c>
      <c r="G14" s="9" t="n">
        <v>400</v>
      </c>
      <c r="H14" s="9" t="n">
        <v>400</v>
      </c>
      <c r="I14" s="9" t="n">
        <v>400</v>
      </c>
      <c r="J14" s="9" t="n">
        <v>400</v>
      </c>
      <c r="K14" s="9" t="n">
        <v>400</v>
      </c>
      <c r="L14" s="9" t="n">
        <v>400</v>
      </c>
      <c r="M14" s="9" t="n">
        <v>400</v>
      </c>
      <c r="N14" s="13">
        <f>SUM(B14:M14)</f>
        <v/>
      </c>
    </row>
    <row r="15">
      <c r="A15" s="12" t="inlineStr">
        <is>
          <t>TOTAL COSTES VARIABLES</t>
        </is>
      </c>
    </row>
    <row r="16">
      <c r="A16" s="7" t="inlineStr"/>
    </row>
    <row r="17">
      <c r="A17" s="12" t="inlineStr">
        <is>
          <t>COSTES FIJOS</t>
        </is>
      </c>
    </row>
    <row r="18">
      <c r="A18" s="7" t="inlineStr">
        <is>
          <t>Alquiler</t>
        </is>
      </c>
      <c r="B18" s="9" t="n">
        <v>4500</v>
      </c>
      <c r="C18" s="9" t="n">
        <v>4500</v>
      </c>
      <c r="D18" s="9" t="n">
        <v>4500</v>
      </c>
      <c r="E18" s="9" t="n">
        <v>4500</v>
      </c>
      <c r="F18" s="9" t="n">
        <v>4500</v>
      </c>
      <c r="G18" s="9" t="n">
        <v>4500</v>
      </c>
      <c r="H18" s="9" t="n">
        <v>4500</v>
      </c>
      <c r="I18" s="9" t="n">
        <v>4500</v>
      </c>
      <c r="J18" s="9" t="n">
        <v>4500</v>
      </c>
      <c r="K18" s="9" t="n">
        <v>4500</v>
      </c>
      <c r="L18" s="9" t="n">
        <v>4500</v>
      </c>
      <c r="M18" s="9" t="n">
        <v>4500</v>
      </c>
      <c r="N18" s="13">
        <f>SUM(B18:M18)</f>
        <v/>
      </c>
    </row>
    <row r="19">
      <c r="A19" s="7" t="inlineStr">
        <is>
          <t>Personal cocina</t>
        </is>
      </c>
      <c r="B19" s="9" t="n">
        <v>14000</v>
      </c>
      <c r="C19" s="9" t="n">
        <v>14000</v>
      </c>
      <c r="D19" s="9" t="n">
        <v>14000</v>
      </c>
      <c r="E19" s="9" t="n">
        <v>14000</v>
      </c>
      <c r="F19" s="9" t="n">
        <v>14000</v>
      </c>
      <c r="G19" s="9" t="n">
        <v>14000</v>
      </c>
      <c r="H19" s="9" t="n">
        <v>14000</v>
      </c>
      <c r="I19" s="9" t="n">
        <v>14000</v>
      </c>
      <c r="J19" s="9" t="n">
        <v>14000</v>
      </c>
      <c r="K19" s="9" t="n">
        <v>14000</v>
      </c>
      <c r="L19" s="9" t="n">
        <v>14000</v>
      </c>
      <c r="M19" s="9" t="n">
        <v>14000</v>
      </c>
      <c r="N19" s="13">
        <f>SUM(B19:M19)</f>
        <v/>
      </c>
    </row>
    <row r="20">
      <c r="A20" s="7" t="inlineStr">
        <is>
          <t>Personal sala</t>
        </is>
      </c>
      <c r="B20" s="9" t="n">
        <v>11000</v>
      </c>
      <c r="C20" s="9" t="n">
        <v>11000</v>
      </c>
      <c r="D20" s="9" t="n">
        <v>11000</v>
      </c>
      <c r="E20" s="9" t="n">
        <v>11000</v>
      </c>
      <c r="F20" s="9" t="n">
        <v>11000</v>
      </c>
      <c r="G20" s="9" t="n">
        <v>11000</v>
      </c>
      <c r="H20" s="9" t="n">
        <v>11000</v>
      </c>
      <c r="I20" s="9" t="n">
        <v>11000</v>
      </c>
      <c r="J20" s="9" t="n">
        <v>11000</v>
      </c>
      <c r="K20" s="9" t="n">
        <v>11000</v>
      </c>
      <c r="L20" s="9" t="n">
        <v>11000</v>
      </c>
      <c r="M20" s="9" t="n">
        <v>11000</v>
      </c>
      <c r="N20" s="13">
        <f>SUM(B20:M20)</f>
        <v/>
      </c>
    </row>
    <row r="21">
      <c r="A21" s="7" t="inlineStr">
        <is>
          <t>Suministros (luz, gas, agua)</t>
        </is>
      </c>
      <c r="B21" s="9" t="n">
        <v>2800</v>
      </c>
      <c r="C21" s="9" t="n">
        <v>2800</v>
      </c>
      <c r="D21" s="9" t="n">
        <v>2800</v>
      </c>
      <c r="E21" s="9" t="n">
        <v>2800</v>
      </c>
      <c r="F21" s="9" t="n">
        <v>2800</v>
      </c>
      <c r="G21" s="9" t="n">
        <v>2800</v>
      </c>
      <c r="H21" s="9" t="n">
        <v>2800</v>
      </c>
      <c r="I21" s="9" t="n">
        <v>2800</v>
      </c>
      <c r="J21" s="9" t="n">
        <v>2800</v>
      </c>
      <c r="K21" s="9" t="n">
        <v>2800</v>
      </c>
      <c r="L21" s="9" t="n">
        <v>2800</v>
      </c>
      <c r="M21" s="9" t="n">
        <v>2800</v>
      </c>
      <c r="N21" s="13">
        <f>SUM(B21:M21)</f>
        <v/>
      </c>
    </row>
    <row r="22">
      <c r="A22" s="7" t="inlineStr">
        <is>
          <t>Seguros</t>
        </is>
      </c>
      <c r="B22" s="9" t="n">
        <v>350</v>
      </c>
      <c r="C22" s="9" t="n">
        <v>350</v>
      </c>
      <c r="D22" s="9" t="n">
        <v>350</v>
      </c>
      <c r="E22" s="9" t="n">
        <v>350</v>
      </c>
      <c r="F22" s="9" t="n">
        <v>350</v>
      </c>
      <c r="G22" s="9" t="n">
        <v>350</v>
      </c>
      <c r="H22" s="9" t="n">
        <v>350</v>
      </c>
      <c r="I22" s="9" t="n">
        <v>350</v>
      </c>
      <c r="J22" s="9" t="n">
        <v>350</v>
      </c>
      <c r="K22" s="9" t="n">
        <v>350</v>
      </c>
      <c r="L22" s="9" t="n">
        <v>350</v>
      </c>
      <c r="M22" s="9" t="n">
        <v>350</v>
      </c>
      <c r="N22" s="13">
        <f>SUM(B22:M22)</f>
        <v/>
      </c>
    </row>
    <row r="23">
      <c r="A23" s="7" t="inlineStr">
        <is>
          <t>Gestoría + contabilidad</t>
        </is>
      </c>
      <c r="B23" s="9" t="n">
        <v>400</v>
      </c>
      <c r="C23" s="9" t="n">
        <v>400</v>
      </c>
      <c r="D23" s="9" t="n">
        <v>400</v>
      </c>
      <c r="E23" s="9" t="n">
        <v>400</v>
      </c>
      <c r="F23" s="9" t="n">
        <v>400</v>
      </c>
      <c r="G23" s="9" t="n">
        <v>400</v>
      </c>
      <c r="H23" s="9" t="n">
        <v>400</v>
      </c>
      <c r="I23" s="9" t="n">
        <v>400</v>
      </c>
      <c r="J23" s="9" t="n">
        <v>400</v>
      </c>
      <c r="K23" s="9" t="n">
        <v>400</v>
      </c>
      <c r="L23" s="9" t="n">
        <v>400</v>
      </c>
      <c r="M23" s="9" t="n">
        <v>400</v>
      </c>
      <c r="N23" s="13">
        <f>SUM(B23:M23)</f>
        <v/>
      </c>
    </row>
    <row r="24">
      <c r="A24" s="7" t="inlineStr">
        <is>
          <t>Marketing</t>
        </is>
      </c>
      <c r="B24" s="9" t="n">
        <v>800</v>
      </c>
      <c r="C24" s="9" t="n">
        <v>800</v>
      </c>
      <c r="D24" s="9" t="n">
        <v>800</v>
      </c>
      <c r="E24" s="9" t="n">
        <v>800</v>
      </c>
      <c r="F24" s="9" t="n">
        <v>800</v>
      </c>
      <c r="G24" s="9" t="n">
        <v>800</v>
      </c>
      <c r="H24" s="9" t="n">
        <v>800</v>
      </c>
      <c r="I24" s="9" t="n">
        <v>800</v>
      </c>
      <c r="J24" s="9" t="n">
        <v>800</v>
      </c>
      <c r="K24" s="9" t="n">
        <v>800</v>
      </c>
      <c r="L24" s="9" t="n">
        <v>800</v>
      </c>
      <c r="M24" s="9" t="n">
        <v>800</v>
      </c>
      <c r="N24" s="13">
        <f>SUM(B24:M24)</f>
        <v/>
      </c>
    </row>
    <row r="25">
      <c r="A25" s="7" t="inlineStr">
        <is>
          <t>Tecnología (TPV, delivery, web)</t>
        </is>
      </c>
      <c r="B25" s="9" t="n">
        <v>350</v>
      </c>
      <c r="C25" s="9" t="n">
        <v>350</v>
      </c>
      <c r="D25" s="9" t="n">
        <v>350</v>
      </c>
      <c r="E25" s="9" t="n">
        <v>350</v>
      </c>
      <c r="F25" s="9" t="n">
        <v>350</v>
      </c>
      <c r="G25" s="9" t="n">
        <v>350</v>
      </c>
      <c r="H25" s="9" t="n">
        <v>350</v>
      </c>
      <c r="I25" s="9" t="n">
        <v>350</v>
      </c>
      <c r="J25" s="9" t="n">
        <v>350</v>
      </c>
      <c r="K25" s="9" t="n">
        <v>350</v>
      </c>
      <c r="L25" s="9" t="n">
        <v>350</v>
      </c>
      <c r="M25" s="9" t="n">
        <v>350</v>
      </c>
      <c r="N25" s="13">
        <f>SUM(B25:M25)</f>
        <v/>
      </c>
    </row>
    <row r="26">
      <c r="A26" s="7" t="inlineStr">
        <is>
          <t>Mantenimiento</t>
        </is>
      </c>
      <c r="B26" s="9" t="n">
        <v>300</v>
      </c>
      <c r="C26" s="9" t="n">
        <v>300</v>
      </c>
      <c r="D26" s="9" t="n">
        <v>300</v>
      </c>
      <c r="E26" s="9" t="n">
        <v>300</v>
      </c>
      <c r="F26" s="9" t="n">
        <v>300</v>
      </c>
      <c r="G26" s="9" t="n">
        <v>300</v>
      </c>
      <c r="H26" s="9" t="n">
        <v>300</v>
      </c>
      <c r="I26" s="9" t="n">
        <v>300</v>
      </c>
      <c r="J26" s="9" t="n">
        <v>300</v>
      </c>
      <c r="K26" s="9" t="n">
        <v>300</v>
      </c>
      <c r="L26" s="9" t="n">
        <v>300</v>
      </c>
      <c r="M26" s="9" t="n">
        <v>300</v>
      </c>
      <c r="N26" s="13">
        <f>SUM(B26:M26)</f>
        <v/>
      </c>
    </row>
    <row r="27">
      <c r="A27" s="7" t="inlineStr">
        <is>
          <t>Varios / imprevistos</t>
        </is>
      </c>
      <c r="B27" s="9" t="n">
        <v>500</v>
      </c>
      <c r="C27" s="9" t="n">
        <v>500</v>
      </c>
      <c r="D27" s="9" t="n">
        <v>500</v>
      </c>
      <c r="E27" s="9" t="n">
        <v>500</v>
      </c>
      <c r="F27" s="9" t="n">
        <v>500</v>
      </c>
      <c r="G27" s="9" t="n">
        <v>500</v>
      </c>
      <c r="H27" s="9" t="n">
        <v>500</v>
      </c>
      <c r="I27" s="9" t="n">
        <v>500</v>
      </c>
      <c r="J27" s="9" t="n">
        <v>500</v>
      </c>
      <c r="K27" s="9" t="n">
        <v>500</v>
      </c>
      <c r="L27" s="9" t="n">
        <v>500</v>
      </c>
      <c r="M27" s="9" t="n">
        <v>500</v>
      </c>
      <c r="N27" s="13">
        <f>SUM(B27:M27)</f>
        <v/>
      </c>
    </row>
    <row r="28">
      <c r="A28" s="12" t="inlineStr">
        <is>
          <t>TOTAL COSTES FIJOS</t>
        </is>
      </c>
    </row>
    <row r="29">
      <c r="A29" s="7" t="inlineStr"/>
    </row>
    <row r="30">
      <c r="A30" s="12" t="inlineStr">
        <is>
          <t>EBITDA</t>
        </is>
      </c>
    </row>
    <row r="31">
      <c r="A31" s="12" t="inlineStr">
        <is>
          <t>% EBITDA</t>
        </is>
      </c>
    </row>
    <row r="33">
      <c r="A33" s="14" t="inlineStr">
        <is>
          <t>AI Chef Pro · aichef.pro — Restaurante Casual</t>
        </is>
      </c>
    </row>
  </sheetData>
  <mergeCells count="3">
    <mergeCell ref="A1:N1"/>
    <mergeCell ref="A2:N2"/>
    <mergeCell ref="A33:N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2026-04-06T17:06:13Z</dcterms:created>
  <dcterms:modified xmlns:dcterms="http://purl.org/dc/terms/" xmlns:xsi="http://www.w3.org/2001/XMLSchema-instance" xsi:type="dcterms:W3CDTF">2026-04-06T17:06:13Z</dcterms:modified>
</cp:coreProperties>
</file>