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mash Burger" sheetId="2" state="visible" r:id="rId2"/>
    <sheet xmlns:r="http://schemas.openxmlformats.org/officeDocument/2006/relationships" name="Loaded Fries" sheetId="3" state="visible" r:id="rId3"/>
    <sheet xmlns:r="http://schemas.openxmlformats.org/officeDocument/2006/relationships" name="Pulled Pork Sándwich" sheetId="4" state="visible" r:id="rId4"/>
  </sheets>
  <definedNames>
    <definedName name="_xlnm.Print_Area" localSheetId="1">'Smash Burger'!$A$1:$I$27</definedName>
    <definedName name="_xlnm.Print_Area" localSheetId="2">'Loaded Fries'!$A$1:$I$25</definedName>
    <definedName name="_xlnm.Print_Area" localSheetId="3">'Pulled Pork Sándwich'!$A$1:$I$24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— Food Truck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Recetas simplificadas con foco en velocidad y margen</t>
        </is>
      </c>
    </row>
    <row r="9">
      <c r="B9" s="6" t="inlineStr">
        <is>
          <t>▸ Food cost objetivo en food truck: 28-35%</t>
        </is>
      </c>
    </row>
    <row r="10">
      <c r="B10" s="6" t="inlineStr">
        <is>
          <t>▸ Los platos de food truck deben tener márgenes altos</t>
        </is>
      </c>
    </row>
    <row r="11">
      <c r="B11" s="5" t="inlineStr"/>
    </row>
    <row r="12">
      <c r="B12" s="7" t="inlineStr">
        <is>
          <t>— Kit de Escandallos Pro · AI Chef Pro · aichef.pro</t>
        </is>
      </c>
    </row>
    <row r="14">
      <c r="B14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Smash Burger Doble con Queso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Carne picada (blend 80/20)</t>
        </is>
      </c>
      <c r="B5" s="16" t="inlineStr">
        <is>
          <t>Carne roja</t>
        </is>
      </c>
      <c r="C5" s="16" t="inlineStr">
        <is>
          <t>kg</t>
        </is>
      </c>
      <c r="D5" s="17" t="n">
        <v>9.5</v>
      </c>
      <c r="E5" s="18" t="n">
        <v>0.18</v>
      </c>
      <c r="F5" s="16" t="inlineStr">
        <is>
          <t>kg</t>
        </is>
      </c>
      <c r="G5" s="19" t="n">
        <v>0.15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Pan brioche</t>
        </is>
      </c>
      <c r="B6" s="16" t="inlineStr">
        <is>
          <t>Pan/bollería</t>
        </is>
      </c>
      <c r="C6" s="16" t="inlineStr">
        <is>
          <t>ud</t>
        </is>
      </c>
      <c r="D6" s="17" t="n">
        <v>0.4</v>
      </c>
      <c r="E6" s="18" t="n">
        <v>1</v>
      </c>
      <c r="F6" s="16" t="inlineStr">
        <is>
          <t>ud</t>
        </is>
      </c>
      <c r="G6" s="19" t="n">
        <v>0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Queso americano</t>
        </is>
      </c>
      <c r="B7" s="16" t="inlineStr">
        <is>
          <t>Lácteos</t>
        </is>
      </c>
      <c r="C7" s="16" t="inlineStr">
        <is>
          <t>ud</t>
        </is>
      </c>
      <c r="D7" s="17" t="n">
        <v>0.15</v>
      </c>
      <c r="E7" s="18" t="n">
        <v>2</v>
      </c>
      <c r="F7" s="16" t="inlineStr">
        <is>
          <t>ud</t>
        </is>
      </c>
      <c r="G7" s="19" t="n">
        <v>0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Cebolla</t>
        </is>
      </c>
      <c r="B8" s="16" t="inlineStr">
        <is>
          <t>Verdura raíz</t>
        </is>
      </c>
      <c r="C8" s="16" t="inlineStr">
        <is>
          <t>kg</t>
        </is>
      </c>
      <c r="D8" s="17" t="n">
        <v>1.2</v>
      </c>
      <c r="E8" s="18" t="n">
        <v>0.04</v>
      </c>
      <c r="F8" s="16" t="inlineStr">
        <is>
          <t>kg</t>
        </is>
      </c>
      <c r="G8" s="19" t="n">
        <v>0.12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Lechuga</t>
        </is>
      </c>
      <c r="B9" s="16" t="inlineStr">
        <is>
          <t>Verdura hoja</t>
        </is>
      </c>
      <c r="C9" s="16" t="inlineStr">
        <is>
          <t>kg</t>
        </is>
      </c>
      <c r="D9" s="17" t="n">
        <v>2.5</v>
      </c>
      <c r="E9" s="18" t="n">
        <v>0.02</v>
      </c>
      <c r="F9" s="16" t="inlineStr">
        <is>
          <t>kg</t>
        </is>
      </c>
      <c r="G9" s="19" t="n">
        <v>0.25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Tomate</t>
        </is>
      </c>
      <c r="B10" s="16" t="inlineStr">
        <is>
          <t>Verdura hoja</t>
        </is>
      </c>
      <c r="C10" s="16" t="inlineStr">
        <is>
          <t>kg</t>
        </is>
      </c>
      <c r="D10" s="17" t="n">
        <v>2.5</v>
      </c>
      <c r="E10" s="18" t="n">
        <v>0.03</v>
      </c>
      <c r="F10" s="16" t="inlineStr">
        <is>
          <t>kg</t>
        </is>
      </c>
      <c r="G10" s="19" t="n">
        <v>0.1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Salsa especial</t>
        </is>
      </c>
      <c r="B11" s="16" t="inlineStr">
        <is>
          <t>Secos/granos</t>
        </is>
      </c>
      <c r="C11" s="16" t="inlineStr">
        <is>
          <t>L</t>
        </is>
      </c>
      <c r="D11" s="17" t="n">
        <v>5</v>
      </c>
      <c r="E11" s="18" t="n">
        <v>0.025</v>
      </c>
      <c r="F11" s="16" t="inlineStr">
        <is>
          <t>L</t>
        </is>
      </c>
      <c r="G11" s="19" t="n">
        <v>0.05</v>
      </c>
      <c r="H11" s="20">
        <f>E11/(1-G11)</f>
        <v/>
      </c>
      <c r="I11" s="21">
        <f>H11*D11</f>
        <v/>
      </c>
      <c r="K11" s="22" t="n"/>
      <c r="L11" s="23" t="n"/>
    </row>
    <row r="12">
      <c r="A12" s="15" t="inlineStr">
        <is>
          <t>Pepinillo</t>
        </is>
      </c>
      <c r="B12" s="16" t="inlineStr">
        <is>
          <t>Congelados</t>
        </is>
      </c>
      <c r="C12" s="16" t="inlineStr">
        <is>
          <t>kg</t>
        </is>
      </c>
      <c r="D12" s="17" t="n">
        <v>4</v>
      </c>
      <c r="E12" s="18" t="n">
        <v>0.02</v>
      </c>
      <c r="F12" s="16" t="inlineStr">
        <is>
          <t>kg</t>
        </is>
      </c>
      <c r="G12" s="19" t="n">
        <v>0.02</v>
      </c>
      <c r="H12" s="20">
        <f>E12/(1-G12)</f>
        <v/>
      </c>
      <c r="I12" s="21">
        <f>H12*D12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>
      <c r="A17" s="28" t="n"/>
      <c r="B17" s="28" t="n"/>
      <c r="C17" s="28" t="n"/>
      <c r="D17" s="28" t="n"/>
      <c r="E17" s="28" t="n"/>
      <c r="F17" s="28" t="n"/>
      <c r="G17" s="29" t="n"/>
      <c r="H17" s="30">
        <f>IF(E17="","",E17/(1-G17))</f>
        <v/>
      </c>
      <c r="I17" s="31">
        <f>IF(H17="","",H17*D17)</f>
        <v/>
      </c>
    </row>
    <row r="18"/>
    <row r="19">
      <c r="A19" s="35" t="inlineStr">
        <is>
          <t>COSTE TOTAL INGREDIENTES</t>
        </is>
      </c>
      <c r="I19" s="36">
        <f>SUM(I5:I17)</f>
        <v/>
      </c>
    </row>
    <row r="20">
      <c r="A20" s="37" t="inlineStr">
        <is>
          <t>Coste elaboración (%)</t>
        </is>
      </c>
      <c r="H20" s="19" t="n">
        <v>0.1</v>
      </c>
      <c r="I20" s="38">
        <f>I19*H20</f>
        <v/>
      </c>
    </row>
    <row r="21">
      <c r="A21" s="39" t="inlineStr">
        <is>
          <t>COSTE TOTAL DEL PLATO</t>
        </is>
      </c>
      <c r="I21" s="40">
        <f>I19+I20</f>
        <v/>
      </c>
    </row>
    <row r="22"/>
    <row r="23">
      <c r="A23" s="41" t="inlineStr">
        <is>
          <t>Food Cost objetivo (%)</t>
        </is>
      </c>
      <c r="H23" s="42" t="n">
        <v>0.3</v>
      </c>
    </row>
    <row r="24">
      <c r="A24" s="43" t="inlineStr">
        <is>
          <t>PVP SUGERIDO (sin IVA)</t>
        </is>
      </c>
      <c r="I24" s="44">
        <f>I21/H23</f>
        <v/>
      </c>
    </row>
    <row r="25">
      <c r="A25" s="45" t="inlineStr">
        <is>
          <t>PVP CON IVA (10% hostelería)</t>
        </is>
      </c>
      <c r="I25" s="46">
        <f>I24*1.10</f>
        <v/>
      </c>
    </row>
    <row r="26">
      <c r="A26" s="37" t="inlineStr">
        <is>
          <t>Margen bruto (€)</t>
        </is>
      </c>
      <c r="I26" s="38">
        <f>I24-I21</f>
        <v/>
      </c>
    </row>
    <row r="27">
      <c r="A27" s="37" t="inlineStr">
        <is>
          <t>Margen bruto (%)</t>
        </is>
      </c>
      <c r="I27" s="47">
        <f>I26/I24</f>
        <v/>
      </c>
    </row>
  </sheetData>
  <mergeCells count="13">
    <mergeCell ref="A26:H26"/>
    <mergeCell ref="A21:H21"/>
    <mergeCell ref="A2:I2"/>
    <mergeCell ref="A25:H25"/>
    <mergeCell ref="A24:H24"/>
    <mergeCell ref="K15:L15"/>
    <mergeCell ref="A1:I1"/>
    <mergeCell ref="A20:G20"/>
    <mergeCell ref="A19:H19"/>
    <mergeCell ref="A27:H27"/>
    <mergeCell ref="K8:L9"/>
    <mergeCell ref="K3:L3"/>
    <mergeCell ref="A23:G23"/>
  </mergeCells>
  <dataValidations count="2">
    <dataValidation sqref="B5 B6 B7 B8 B9 B10 B11 B12 B13 B14 B15 B16 B17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C17 F5 F6 F7 F8 F9 F10 F11 F12 F13 F14 F15 F16 F17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Loaded Fries con Pulled Pork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Patata para freír</t>
        </is>
      </c>
      <c r="B5" s="16" t="inlineStr">
        <is>
          <t>Verdura raíz</t>
        </is>
      </c>
      <c r="C5" s="16" t="inlineStr">
        <is>
          <t>kg</t>
        </is>
      </c>
      <c r="D5" s="17" t="n">
        <v>1.5</v>
      </c>
      <c r="E5" s="18" t="n">
        <v>0.25</v>
      </c>
      <c r="F5" s="16" t="inlineStr">
        <is>
          <t>kg</t>
        </is>
      </c>
      <c r="G5" s="19" t="n">
        <v>0.12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Pulled pork</t>
        </is>
      </c>
      <c r="B6" s="16" t="inlineStr">
        <is>
          <t>Carne roja</t>
        </is>
      </c>
      <c r="C6" s="16" t="inlineStr">
        <is>
          <t>kg</t>
        </is>
      </c>
      <c r="D6" s="17" t="n">
        <v>14</v>
      </c>
      <c r="E6" s="18" t="n">
        <v>0.1</v>
      </c>
      <c r="F6" s="16" t="inlineStr">
        <is>
          <t>kg</t>
        </is>
      </c>
      <c r="G6" s="19" t="n">
        <v>0.1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Queso cheddar rallado</t>
        </is>
      </c>
      <c r="B7" s="16" t="inlineStr">
        <is>
          <t>Lácteos</t>
        </is>
      </c>
      <c r="C7" s="16" t="inlineStr">
        <is>
          <t>kg</t>
        </is>
      </c>
      <c r="D7" s="17" t="n">
        <v>10</v>
      </c>
      <c r="E7" s="18" t="n">
        <v>0.04</v>
      </c>
      <c r="F7" s="16" t="inlineStr">
        <is>
          <t>kg</t>
        </is>
      </c>
      <c r="G7" s="19" t="n">
        <v>0.03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Salsa BBQ</t>
        </is>
      </c>
      <c r="B8" s="16" t="inlineStr">
        <is>
          <t>Secos/granos</t>
        </is>
      </c>
      <c r="C8" s="16" t="inlineStr">
        <is>
          <t>L</t>
        </is>
      </c>
      <c r="D8" s="17" t="n">
        <v>4</v>
      </c>
      <c r="E8" s="18" t="n">
        <v>0.03</v>
      </c>
      <c r="F8" s="16" t="inlineStr">
        <is>
          <t>L</t>
        </is>
      </c>
      <c r="G8" s="19" t="n">
        <v>0.05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Cebollino</t>
        </is>
      </c>
      <c r="B9" s="16" t="inlineStr">
        <is>
          <t>Especias/hierbas</t>
        </is>
      </c>
      <c r="C9" s="16" t="inlineStr">
        <is>
          <t>manojo</t>
        </is>
      </c>
      <c r="D9" s="17" t="n">
        <v>1.5</v>
      </c>
      <c r="E9" s="18" t="n">
        <v>0.125</v>
      </c>
      <c r="F9" s="16" t="inlineStr">
        <is>
          <t>ud</t>
        </is>
      </c>
      <c r="G9" s="19" t="n">
        <v>0.2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Aceite de girasol (fritura)</t>
        </is>
      </c>
      <c r="B10" s="16" t="inlineStr">
        <is>
          <t>Aceites/grasas</t>
        </is>
      </c>
      <c r="C10" s="16" t="inlineStr">
        <is>
          <t>L</t>
        </is>
      </c>
      <c r="D10" s="17" t="n">
        <v>2</v>
      </c>
      <c r="E10" s="18" t="n">
        <v>0.1</v>
      </c>
      <c r="F10" s="16" t="inlineStr">
        <is>
          <t>L</t>
        </is>
      </c>
      <c r="G10" s="19" t="n">
        <v>0</v>
      </c>
      <c r="H10" s="20">
        <f>E10/(1-G10)</f>
        <v/>
      </c>
      <c r="I10" s="21">
        <f>H10*D10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/>
    <row r="17">
      <c r="A17" s="35" t="inlineStr">
        <is>
          <t>COSTE TOTAL INGREDIENTES</t>
        </is>
      </c>
      <c r="I17" s="36">
        <f>SUM(I5:I15)</f>
        <v/>
      </c>
    </row>
    <row r="18">
      <c r="A18" s="37" t="inlineStr">
        <is>
          <t>Coste elaboración (%)</t>
        </is>
      </c>
      <c r="H18" s="19" t="n">
        <v>0.1</v>
      </c>
      <c r="I18" s="38">
        <f>I17*H18</f>
        <v/>
      </c>
    </row>
    <row r="19">
      <c r="A19" s="39" t="inlineStr">
        <is>
          <t>COSTE TOTAL DEL PLATO</t>
        </is>
      </c>
      <c r="I19" s="40">
        <f>I17+I18</f>
        <v/>
      </c>
    </row>
    <row r="20"/>
    <row r="21">
      <c r="A21" s="41" t="inlineStr">
        <is>
          <t>Food Cost objetivo (%)</t>
        </is>
      </c>
      <c r="H21" s="42" t="n">
        <v>0.3</v>
      </c>
    </row>
    <row r="22">
      <c r="A22" s="43" t="inlineStr">
        <is>
          <t>PVP SUGERIDO (sin IVA)</t>
        </is>
      </c>
      <c r="I22" s="44">
        <f>I19/H21</f>
        <v/>
      </c>
    </row>
    <row r="23">
      <c r="A23" s="45" t="inlineStr">
        <is>
          <t>PVP CON IVA (10% hostelería)</t>
        </is>
      </c>
      <c r="I23" s="46">
        <f>I22*1.10</f>
        <v/>
      </c>
    </row>
    <row r="24">
      <c r="A24" s="37" t="inlineStr">
        <is>
          <t>Margen bruto (€)</t>
        </is>
      </c>
      <c r="I24" s="38">
        <f>I22-I19</f>
        <v/>
      </c>
    </row>
    <row r="25">
      <c r="A25" s="37" t="inlineStr">
        <is>
          <t>Margen bruto (%)</t>
        </is>
      </c>
      <c r="I25" s="47">
        <f>I24/I22</f>
        <v/>
      </c>
    </row>
  </sheetData>
  <mergeCells count="13">
    <mergeCell ref="A2:I2"/>
    <mergeCell ref="A18:G18"/>
    <mergeCell ref="A25:H25"/>
    <mergeCell ref="A21:G21"/>
    <mergeCell ref="A24:H24"/>
    <mergeCell ref="K15:L15"/>
    <mergeCell ref="A22:H22"/>
    <mergeCell ref="A1:I1"/>
    <mergeCell ref="A19:H19"/>
    <mergeCell ref="A23:H23"/>
    <mergeCell ref="K8:L9"/>
    <mergeCell ref="K3:L3"/>
    <mergeCell ref="A17:H17"/>
  </mergeCells>
  <dataValidations count="2">
    <dataValidation sqref="B5 B6 B7 B8 B9 B10 B11 B12 B13 B14 B15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F5 F6 F7 F8 F9 F10 F11 F12 F13 F14 F15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Pulled Pork Sándwich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Pulled pork</t>
        </is>
      </c>
      <c r="B5" s="16" t="inlineStr">
        <is>
          <t>Carne roja</t>
        </is>
      </c>
      <c r="C5" s="16" t="inlineStr">
        <is>
          <t>kg</t>
        </is>
      </c>
      <c r="D5" s="17" t="n">
        <v>14</v>
      </c>
      <c r="E5" s="18" t="n">
        <v>0.15</v>
      </c>
      <c r="F5" s="16" t="inlineStr">
        <is>
          <t>kg</t>
        </is>
      </c>
      <c r="G5" s="19" t="n">
        <v>0.1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Pan brioche grande</t>
        </is>
      </c>
      <c r="B6" s="16" t="inlineStr">
        <is>
          <t>Pan/bollería</t>
        </is>
      </c>
      <c r="C6" s="16" t="inlineStr">
        <is>
          <t>ud</t>
        </is>
      </c>
      <c r="D6" s="17" t="n">
        <v>0.5</v>
      </c>
      <c r="E6" s="18" t="n">
        <v>1</v>
      </c>
      <c r="F6" s="16" t="inlineStr">
        <is>
          <t>ud</t>
        </is>
      </c>
      <c r="G6" s="19" t="n">
        <v>0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Coleslaw (mix)</t>
        </is>
      </c>
      <c r="B7" s="16" t="inlineStr">
        <is>
          <t>Verdura hoja</t>
        </is>
      </c>
      <c r="C7" s="16" t="inlineStr">
        <is>
          <t>kg</t>
        </is>
      </c>
      <c r="D7" s="17" t="n">
        <v>3</v>
      </c>
      <c r="E7" s="18" t="n">
        <v>0.06</v>
      </c>
      <c r="F7" s="16" t="inlineStr">
        <is>
          <t>kg</t>
        </is>
      </c>
      <c r="G7" s="19" t="n">
        <v>0.1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Salsa BBQ</t>
        </is>
      </c>
      <c r="B8" s="16" t="inlineStr">
        <is>
          <t>Secos/granos</t>
        </is>
      </c>
      <c r="C8" s="16" t="inlineStr">
        <is>
          <t>L</t>
        </is>
      </c>
      <c r="D8" s="17" t="n">
        <v>4</v>
      </c>
      <c r="E8" s="18" t="n">
        <v>0.03</v>
      </c>
      <c r="F8" s="16" t="inlineStr">
        <is>
          <t>L</t>
        </is>
      </c>
      <c r="G8" s="19" t="n">
        <v>0.05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Pepinillos</t>
        </is>
      </c>
      <c r="B9" s="16" t="inlineStr">
        <is>
          <t>Congelados</t>
        </is>
      </c>
      <c r="C9" s="16" t="inlineStr">
        <is>
          <t>kg</t>
        </is>
      </c>
      <c r="D9" s="17" t="n">
        <v>4</v>
      </c>
      <c r="E9" s="18" t="n">
        <v>0.02</v>
      </c>
      <c r="F9" s="16" t="inlineStr">
        <is>
          <t>kg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19"/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2026-03-16T17:45:44Z</dcterms:created>
  <dcterms:modified xmlns:dcterms="http://purl.org/dc/terms/" xmlns:xsi="http://www.w3.org/2001/XMLSchema-instance" xsi:type="dcterms:W3CDTF">2026-03-16T17:45:44Z</dcterms:modified>
</cp:coreProperties>
</file>